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\\db1\Входящие\29 ОТСиИТ\"/>
    </mc:Choice>
  </mc:AlternateContent>
  <xr:revisionPtr revIDLastSave="0" documentId="13_ncr:1_{494A6A74-CA80-419D-803D-0B98C69D1E5B}" xr6:coauthVersionLast="47" xr6:coauthVersionMax="47" xr10:uidLastSave="{00000000-0000-0000-0000-000000000000}"/>
  <bookViews>
    <workbookView xWindow="-120" yWindow="-120" windowWidth="29040" windowHeight="15840" tabRatio="827" activeTab="1" xr2:uid="{00000000-000D-0000-FFFF-FFFF00000000}"/>
  </bookViews>
  <sheets>
    <sheet name="Команды участники" sheetId="34" r:id="rId1"/>
    <sheet name="Испытания Атлет" sheetId="33" r:id="rId2"/>
    <sheet name="Испытания Атлет (2)" sheetId="38" state="hidden" r:id="rId3"/>
    <sheet name="Командные результаты" sheetId="23" r:id="rId4"/>
    <sheet name="Командные результаты (2)" sheetId="37" state="hidden" r:id="rId5"/>
    <sheet name="Атлет" sheetId="29" state="hidden" r:id="rId6"/>
  </sheets>
  <functionGroups builtInGroupCount="19"/>
  <definedNames>
    <definedName name="_xlnm._FilterDatabase" localSheetId="1" hidden="1">'Испытания Атлет'!$A$1:$U$104</definedName>
    <definedName name="_xlnm._FilterDatabase" localSheetId="2" hidden="1">'Испытания Атлет (2)'!$A$1:$T$104</definedName>
    <definedName name="_xlnm.Print_Titles" localSheetId="1">'Испытания Атлет'!$2:$4</definedName>
    <definedName name="_xlnm.Print_Titles" localSheetId="2">'Испытания Атлет (2)'!$2:$4</definedName>
    <definedName name="_xlnm.Print_Area" localSheetId="1">'Испытания Атлет'!$A$1:$U$109</definedName>
    <definedName name="_xlnm.Print_Area" localSheetId="2">'Испытания Атлет (2)'!$A$1:$T$108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104" i="38" l="1" a="1"/>
  <c r="R104" i="38" s="1"/>
  <c r="P104" i="38"/>
  <c r="N104" i="38"/>
  <c r="L104" i="38"/>
  <c r="J104" i="38"/>
  <c r="H104" i="38" a="1"/>
  <c r="H104" i="38" s="1"/>
  <c r="F104" i="38"/>
  <c r="R103" i="38" a="1"/>
  <c r="R103" i="38" s="1"/>
  <c r="P103" i="38"/>
  <c r="N103" i="38"/>
  <c r="L103" i="38"/>
  <c r="J103" i="38"/>
  <c r="H103" i="38" a="1"/>
  <c r="H103" i="38" s="1"/>
  <c r="F103" i="38"/>
  <c r="R102" i="38" a="1"/>
  <c r="R102" i="38" s="1"/>
  <c r="P102" i="38"/>
  <c r="N102" i="38"/>
  <c r="L102" i="38"/>
  <c r="J102" i="38"/>
  <c r="H102" i="38" a="1"/>
  <c r="H102" i="38" s="1"/>
  <c r="F102" i="38"/>
  <c r="R101" i="38" a="1"/>
  <c r="R101" i="38" s="1"/>
  <c r="P101" i="38"/>
  <c r="N101" i="38"/>
  <c r="L101" i="38"/>
  <c r="J101" i="38"/>
  <c r="H101" i="38" a="1"/>
  <c r="H101" i="38" s="1"/>
  <c r="F101" i="38"/>
  <c r="R100" i="38" a="1"/>
  <c r="R100" i="38" s="1"/>
  <c r="P100" i="38"/>
  <c r="N100" i="38"/>
  <c r="L100" i="38"/>
  <c r="J100" i="38"/>
  <c r="H100" i="38" a="1"/>
  <c r="H100" i="38" s="1"/>
  <c r="F100" i="38"/>
  <c r="R99" i="38" a="1"/>
  <c r="R99" i="38" s="1"/>
  <c r="P99" i="38"/>
  <c r="N99" i="38"/>
  <c r="L99" i="38"/>
  <c r="J99" i="38"/>
  <c r="H99" i="38" a="1"/>
  <c r="H99" i="38" s="1"/>
  <c r="F99" i="38"/>
  <c r="R98" i="38" a="1"/>
  <c r="R98" i="38" s="1"/>
  <c r="P98" i="38"/>
  <c r="N98" i="38"/>
  <c r="L98" i="38"/>
  <c r="J98" i="38"/>
  <c r="H98" i="38" a="1"/>
  <c r="H98" i="38" s="1"/>
  <c r="F98" i="38"/>
  <c r="R97" i="38" a="1"/>
  <c r="R97" i="38" s="1"/>
  <c r="P97" i="38"/>
  <c r="N97" i="38"/>
  <c r="L97" i="38"/>
  <c r="J97" i="38"/>
  <c r="H97" i="38" a="1"/>
  <c r="H97" i="38" s="1"/>
  <c r="F97" i="38"/>
  <c r="R96" i="38" a="1"/>
  <c r="R96" i="38" s="1"/>
  <c r="P96" i="38"/>
  <c r="N96" i="38"/>
  <c r="L96" i="38"/>
  <c r="J96" i="38"/>
  <c r="H96" i="38" a="1"/>
  <c r="H96" i="38" s="1"/>
  <c r="F96" i="38"/>
  <c r="R95" i="38" a="1"/>
  <c r="R95" i="38" s="1"/>
  <c r="P95" i="38"/>
  <c r="N95" i="38"/>
  <c r="L95" i="38"/>
  <c r="J95" i="38"/>
  <c r="H95" i="38" a="1"/>
  <c r="H95" i="38" s="1"/>
  <c r="F95" i="38"/>
  <c r="R94" i="38" a="1"/>
  <c r="R94" i="38" s="1"/>
  <c r="P94" i="38"/>
  <c r="N94" i="38"/>
  <c r="L94" i="38"/>
  <c r="J94" i="38"/>
  <c r="H94" i="38" a="1"/>
  <c r="H94" i="38" s="1"/>
  <c r="F94" i="38"/>
  <c r="R93" i="38" a="1"/>
  <c r="R93" i="38" s="1"/>
  <c r="P93" i="38"/>
  <c r="N93" i="38"/>
  <c r="L93" i="38"/>
  <c r="J93" i="38"/>
  <c r="H93" i="38" a="1"/>
  <c r="H93" i="38" s="1"/>
  <c r="F93" i="38"/>
  <c r="R92" i="38" a="1"/>
  <c r="R92" i="38" s="1"/>
  <c r="P92" i="38"/>
  <c r="N92" i="38"/>
  <c r="L92" i="38"/>
  <c r="J92" i="38"/>
  <c r="H92" i="38" a="1"/>
  <c r="H92" i="38" s="1"/>
  <c r="F92" i="38"/>
  <c r="R91" i="38" a="1"/>
  <c r="R91" i="38" s="1"/>
  <c r="P91" i="38"/>
  <c r="N91" i="38"/>
  <c r="L91" i="38"/>
  <c r="J91" i="38"/>
  <c r="H91" i="38" a="1"/>
  <c r="H91" i="38" s="1"/>
  <c r="F91" i="38"/>
  <c r="R90" i="38" a="1"/>
  <c r="R90" i="38" s="1"/>
  <c r="P90" i="38"/>
  <c r="N90" i="38"/>
  <c r="L90" i="38"/>
  <c r="J90" i="38"/>
  <c r="H90" i="38" a="1"/>
  <c r="H90" i="38" s="1"/>
  <c r="F90" i="38"/>
  <c r="R89" i="38" a="1"/>
  <c r="R89" i="38" s="1"/>
  <c r="P89" i="38"/>
  <c r="N89" i="38"/>
  <c r="L89" i="38"/>
  <c r="J89" i="38"/>
  <c r="H89" i="38" a="1"/>
  <c r="H89" i="38" s="1"/>
  <c r="F89" i="38"/>
  <c r="R88" i="38" a="1"/>
  <c r="R88" i="38" s="1"/>
  <c r="P88" i="38"/>
  <c r="N88" i="38"/>
  <c r="L88" i="38"/>
  <c r="J88" i="38"/>
  <c r="H88" i="38" a="1"/>
  <c r="H88" i="38" s="1"/>
  <c r="F88" i="38"/>
  <c r="R87" i="38" a="1"/>
  <c r="R87" i="38" s="1"/>
  <c r="P87" i="38"/>
  <c r="N87" i="38"/>
  <c r="L87" i="38"/>
  <c r="J87" i="38"/>
  <c r="H87" i="38" a="1"/>
  <c r="H87" i="38" s="1"/>
  <c r="F87" i="38"/>
  <c r="R86" i="38" a="1"/>
  <c r="R86" i="38" s="1"/>
  <c r="P86" i="38"/>
  <c r="N86" i="38"/>
  <c r="L86" i="38"/>
  <c r="J86" i="38"/>
  <c r="H86" i="38" a="1"/>
  <c r="H86" i="38" s="1"/>
  <c r="F86" i="38"/>
  <c r="R85" i="38" a="1"/>
  <c r="R85" i="38" s="1"/>
  <c r="P85" i="38"/>
  <c r="N85" i="38"/>
  <c r="L85" i="38"/>
  <c r="J85" i="38"/>
  <c r="H85" i="38" a="1"/>
  <c r="H85" i="38" s="1"/>
  <c r="F85" i="38"/>
  <c r="R84" i="38" a="1"/>
  <c r="R84" i="38" s="1"/>
  <c r="P84" i="38"/>
  <c r="N84" i="38"/>
  <c r="L84" i="38"/>
  <c r="J84" i="38"/>
  <c r="H84" i="38" a="1"/>
  <c r="H84" i="38" s="1"/>
  <c r="F84" i="38"/>
  <c r="R83" i="38" a="1"/>
  <c r="R83" i="38" s="1"/>
  <c r="P83" i="38"/>
  <c r="N83" i="38"/>
  <c r="L83" i="38"/>
  <c r="J83" i="38"/>
  <c r="H83" i="38" a="1"/>
  <c r="H83" i="38" s="1"/>
  <c r="F83" i="38"/>
  <c r="R82" i="38" a="1"/>
  <c r="R82" i="38" s="1"/>
  <c r="P82" i="38"/>
  <c r="N82" i="38"/>
  <c r="L82" i="38"/>
  <c r="J82" i="38"/>
  <c r="H82" i="38" a="1"/>
  <c r="H82" i="38" s="1"/>
  <c r="F82" i="38"/>
  <c r="R81" i="38" a="1"/>
  <c r="R81" i="38" s="1"/>
  <c r="P81" i="38"/>
  <c r="N81" i="38"/>
  <c r="L81" i="38"/>
  <c r="J81" i="38"/>
  <c r="H81" i="38" a="1"/>
  <c r="H81" i="38" s="1"/>
  <c r="F81" i="38"/>
  <c r="R80" i="38" a="1"/>
  <c r="R80" i="38" s="1"/>
  <c r="P80" i="38"/>
  <c r="N80" i="38"/>
  <c r="L80" i="38"/>
  <c r="J80" i="38"/>
  <c r="H80" i="38" a="1"/>
  <c r="H80" i="38" s="1"/>
  <c r="F80" i="38"/>
  <c r="R79" i="38" a="1"/>
  <c r="R79" i="38" s="1"/>
  <c r="P79" i="38"/>
  <c r="N79" i="38"/>
  <c r="L79" i="38"/>
  <c r="J79" i="38"/>
  <c r="H79" i="38" a="1"/>
  <c r="H79" i="38" s="1"/>
  <c r="F79" i="38"/>
  <c r="R78" i="38" a="1"/>
  <c r="R78" i="38" s="1"/>
  <c r="P78" i="38"/>
  <c r="N78" i="38"/>
  <c r="L78" i="38"/>
  <c r="J78" i="38"/>
  <c r="H78" i="38" a="1"/>
  <c r="H78" i="38" s="1"/>
  <c r="F78" i="38"/>
  <c r="R77" i="38" a="1"/>
  <c r="R77" i="38" s="1"/>
  <c r="P77" i="38"/>
  <c r="N77" i="38"/>
  <c r="L77" i="38"/>
  <c r="J77" i="38"/>
  <c r="H77" i="38" a="1"/>
  <c r="H77" i="38" s="1"/>
  <c r="F77" i="38"/>
  <c r="R76" i="38" a="1"/>
  <c r="R76" i="38" s="1"/>
  <c r="P76" i="38"/>
  <c r="N76" i="38"/>
  <c r="L76" i="38"/>
  <c r="J76" i="38"/>
  <c r="H76" i="38" a="1"/>
  <c r="H76" i="38" s="1"/>
  <c r="F76" i="38"/>
  <c r="R75" i="38" a="1"/>
  <c r="R75" i="38" s="1"/>
  <c r="P75" i="38"/>
  <c r="N75" i="38"/>
  <c r="L75" i="38"/>
  <c r="J75" i="38"/>
  <c r="H75" i="38" a="1"/>
  <c r="H75" i="38" s="1"/>
  <c r="F75" i="38"/>
  <c r="R74" i="38" a="1"/>
  <c r="R74" i="38" s="1"/>
  <c r="P74" i="38"/>
  <c r="N74" i="38"/>
  <c r="L74" i="38"/>
  <c r="J74" i="38"/>
  <c r="H74" i="38" a="1"/>
  <c r="H74" i="38" s="1"/>
  <c r="F74" i="38"/>
  <c r="R73" i="38" a="1"/>
  <c r="R73" i="38" s="1"/>
  <c r="P73" i="38"/>
  <c r="N73" i="38"/>
  <c r="L73" i="38"/>
  <c r="J73" i="38"/>
  <c r="H73" i="38" a="1"/>
  <c r="H73" i="38" s="1"/>
  <c r="F73" i="38"/>
  <c r="R72" i="38" a="1"/>
  <c r="R72" i="38" s="1"/>
  <c r="P72" i="38"/>
  <c r="N72" i="38"/>
  <c r="L72" i="38"/>
  <c r="J72" i="38"/>
  <c r="H72" i="38" a="1"/>
  <c r="H72" i="38" s="1"/>
  <c r="F72" i="38"/>
  <c r="R71" i="38" a="1"/>
  <c r="R71" i="38" s="1"/>
  <c r="P71" i="38"/>
  <c r="N71" i="38"/>
  <c r="L71" i="38"/>
  <c r="J71" i="38"/>
  <c r="H71" i="38" a="1"/>
  <c r="H71" i="38" s="1"/>
  <c r="F71" i="38"/>
  <c r="R70" i="38" a="1"/>
  <c r="R70" i="38" s="1"/>
  <c r="P70" i="38"/>
  <c r="N70" i="38"/>
  <c r="L70" i="38"/>
  <c r="J70" i="38"/>
  <c r="H70" i="38" a="1"/>
  <c r="H70" i="38" s="1"/>
  <c r="F70" i="38"/>
  <c r="R69" i="38" a="1"/>
  <c r="R69" i="38" s="1"/>
  <c r="P69" i="38"/>
  <c r="N69" i="38"/>
  <c r="L69" i="38"/>
  <c r="J69" i="38"/>
  <c r="H69" i="38" a="1"/>
  <c r="H69" i="38" s="1"/>
  <c r="F69" i="38"/>
  <c r="R68" i="38" a="1"/>
  <c r="R68" i="38" s="1"/>
  <c r="P68" i="38"/>
  <c r="N68" i="38"/>
  <c r="L68" i="38"/>
  <c r="J68" i="38"/>
  <c r="H68" i="38" a="1"/>
  <c r="H68" i="38" s="1"/>
  <c r="F68" i="38"/>
  <c r="R67" i="38" a="1"/>
  <c r="R67" i="38" s="1"/>
  <c r="P67" i="38"/>
  <c r="N67" i="38"/>
  <c r="L67" i="38"/>
  <c r="J67" i="38"/>
  <c r="H67" i="38" a="1"/>
  <c r="H67" i="38" s="1"/>
  <c r="F67" i="38"/>
  <c r="R66" i="38" a="1"/>
  <c r="R66" i="38" s="1"/>
  <c r="P66" i="38"/>
  <c r="N66" i="38"/>
  <c r="L66" i="38"/>
  <c r="J66" i="38"/>
  <c r="H66" i="38" a="1"/>
  <c r="H66" i="38" s="1"/>
  <c r="F66" i="38"/>
  <c r="R65" i="38" a="1"/>
  <c r="R65" i="38" s="1"/>
  <c r="P65" i="38"/>
  <c r="N65" i="38"/>
  <c r="L65" i="38"/>
  <c r="J65" i="38"/>
  <c r="H65" i="38" a="1"/>
  <c r="H65" i="38" s="1"/>
  <c r="F65" i="38"/>
  <c r="R64" i="38" a="1"/>
  <c r="R64" i="38" s="1"/>
  <c r="P64" i="38"/>
  <c r="N64" i="38"/>
  <c r="L64" i="38"/>
  <c r="J64" i="38"/>
  <c r="H64" i="38" a="1"/>
  <c r="H64" i="38" s="1"/>
  <c r="F64" i="38"/>
  <c r="R63" i="38" a="1"/>
  <c r="R63" i="38" s="1"/>
  <c r="P63" i="38"/>
  <c r="N63" i="38"/>
  <c r="L63" i="38"/>
  <c r="J63" i="38"/>
  <c r="H63" i="38" a="1"/>
  <c r="H63" i="38" s="1"/>
  <c r="F63" i="38"/>
  <c r="R62" i="38" a="1"/>
  <c r="R62" i="38" s="1"/>
  <c r="P62" i="38"/>
  <c r="N62" i="38"/>
  <c r="L62" i="38"/>
  <c r="J62" i="38"/>
  <c r="H62" i="38" a="1"/>
  <c r="H62" i="38" s="1"/>
  <c r="F62" i="38"/>
  <c r="R61" i="38" a="1"/>
  <c r="R61" i="38" s="1"/>
  <c r="P61" i="38"/>
  <c r="N61" i="38"/>
  <c r="L61" i="38"/>
  <c r="J61" i="38"/>
  <c r="H61" i="38" a="1"/>
  <c r="H61" i="38" s="1"/>
  <c r="F61" i="38"/>
  <c r="R60" i="38" a="1"/>
  <c r="R60" i="38" s="1"/>
  <c r="P60" i="38"/>
  <c r="N60" i="38"/>
  <c r="L60" i="38"/>
  <c r="J60" i="38"/>
  <c r="H60" i="38" a="1"/>
  <c r="H60" i="38" s="1"/>
  <c r="F60" i="38"/>
  <c r="R59" i="38" a="1"/>
  <c r="R59" i="38" s="1"/>
  <c r="P59" i="38"/>
  <c r="N59" i="38"/>
  <c r="L59" i="38"/>
  <c r="J59" i="38"/>
  <c r="H59" i="38" a="1"/>
  <c r="H59" i="38" s="1"/>
  <c r="F59" i="38"/>
  <c r="R58" i="38" a="1"/>
  <c r="R58" i="38" s="1"/>
  <c r="P58" i="38"/>
  <c r="N58" i="38"/>
  <c r="L58" i="38"/>
  <c r="J58" i="38"/>
  <c r="H58" i="38" a="1"/>
  <c r="H58" i="38" s="1"/>
  <c r="F58" i="38"/>
  <c r="R57" i="38" a="1"/>
  <c r="R57" i="38" s="1"/>
  <c r="P57" i="38"/>
  <c r="N57" i="38"/>
  <c r="L57" i="38"/>
  <c r="J57" i="38"/>
  <c r="H57" i="38" a="1"/>
  <c r="H57" i="38" s="1"/>
  <c r="F57" i="38"/>
  <c r="R56" i="38" a="1"/>
  <c r="R56" i="38" s="1"/>
  <c r="P56" i="38"/>
  <c r="N56" i="38"/>
  <c r="L56" i="38"/>
  <c r="J56" i="38"/>
  <c r="H56" i="38" a="1"/>
  <c r="H56" i="38" s="1"/>
  <c r="F56" i="38"/>
  <c r="R55" i="38" a="1"/>
  <c r="R55" i="38" s="1"/>
  <c r="P55" i="38"/>
  <c r="N55" i="38"/>
  <c r="L55" i="38"/>
  <c r="J55" i="38"/>
  <c r="H55" i="38" a="1"/>
  <c r="H55" i="38" s="1"/>
  <c r="F55" i="38"/>
  <c r="R54" i="38" a="1"/>
  <c r="R54" i="38" s="1"/>
  <c r="P54" i="38"/>
  <c r="N54" i="38"/>
  <c r="L54" i="38"/>
  <c r="J54" i="38"/>
  <c r="H54" i="38" a="1"/>
  <c r="H54" i="38" s="1"/>
  <c r="F54" i="38"/>
  <c r="R53" i="38" a="1"/>
  <c r="R53" i="38" s="1"/>
  <c r="P53" i="38"/>
  <c r="N53" i="38"/>
  <c r="L53" i="38"/>
  <c r="J53" i="38"/>
  <c r="H53" i="38" a="1"/>
  <c r="H53" i="38" s="1"/>
  <c r="F53" i="38"/>
  <c r="R52" i="38" a="1"/>
  <c r="R52" i="38" s="1"/>
  <c r="P52" i="38"/>
  <c r="N52" i="38"/>
  <c r="L52" i="38"/>
  <c r="J52" i="38"/>
  <c r="H52" i="38" a="1"/>
  <c r="H52" i="38" s="1"/>
  <c r="F52" i="38"/>
  <c r="R51" i="38" a="1"/>
  <c r="R51" i="38" s="1"/>
  <c r="P51" i="38"/>
  <c r="N51" i="38"/>
  <c r="L51" i="38"/>
  <c r="J51" i="38"/>
  <c r="H51" i="38" a="1"/>
  <c r="H51" i="38" s="1"/>
  <c r="F51" i="38"/>
  <c r="R50" i="38" a="1"/>
  <c r="R50" i="38" s="1"/>
  <c r="P50" i="38"/>
  <c r="N50" i="38"/>
  <c r="L50" i="38"/>
  <c r="J50" i="38"/>
  <c r="H50" i="38" a="1"/>
  <c r="H50" i="38" s="1"/>
  <c r="F50" i="38"/>
  <c r="R49" i="38" a="1"/>
  <c r="R49" i="38" s="1"/>
  <c r="P49" i="38"/>
  <c r="N49" i="38"/>
  <c r="L49" i="38"/>
  <c r="J49" i="38"/>
  <c r="H49" i="38" a="1"/>
  <c r="H49" i="38" s="1"/>
  <c r="F49" i="38"/>
  <c r="R48" i="38" a="1"/>
  <c r="R48" i="38" s="1"/>
  <c r="P48" i="38"/>
  <c r="N48" i="38"/>
  <c r="L48" i="38"/>
  <c r="J48" i="38"/>
  <c r="H48" i="38" a="1"/>
  <c r="H48" i="38" s="1"/>
  <c r="F48" i="38"/>
  <c r="R47" i="38" a="1"/>
  <c r="R47" i="38" s="1"/>
  <c r="P47" i="38"/>
  <c r="N47" i="38"/>
  <c r="L47" i="38"/>
  <c r="J47" i="38"/>
  <c r="H47" i="38" a="1"/>
  <c r="H47" i="38" s="1"/>
  <c r="F47" i="38"/>
  <c r="R46" i="38" a="1"/>
  <c r="R46" i="38" s="1"/>
  <c r="P46" i="38"/>
  <c r="N46" i="38"/>
  <c r="L46" i="38"/>
  <c r="J46" i="38"/>
  <c r="H46" i="38" a="1"/>
  <c r="H46" i="38" s="1"/>
  <c r="F46" i="38"/>
  <c r="R45" i="38" a="1"/>
  <c r="R45" i="38" s="1"/>
  <c r="P45" i="38"/>
  <c r="N45" i="38"/>
  <c r="L45" i="38"/>
  <c r="J45" i="38"/>
  <c r="H45" i="38" a="1"/>
  <c r="H45" i="38" s="1"/>
  <c r="F45" i="38"/>
  <c r="R44" i="38" a="1"/>
  <c r="R44" i="38" s="1"/>
  <c r="P44" i="38"/>
  <c r="N44" i="38"/>
  <c r="L44" i="38"/>
  <c r="J44" i="38"/>
  <c r="H44" i="38" a="1"/>
  <c r="H44" i="38" s="1"/>
  <c r="F44" i="38"/>
  <c r="R43" i="38" a="1"/>
  <c r="R43" i="38" s="1"/>
  <c r="P43" i="38"/>
  <c r="N43" i="38"/>
  <c r="L43" i="38"/>
  <c r="J43" i="38"/>
  <c r="H43" i="38" a="1"/>
  <c r="H43" i="38" s="1"/>
  <c r="F43" i="38"/>
  <c r="R42" i="38" a="1"/>
  <c r="R42" i="38" s="1"/>
  <c r="P42" i="38"/>
  <c r="N42" i="38"/>
  <c r="L42" i="38"/>
  <c r="J42" i="38"/>
  <c r="H42" i="38" a="1"/>
  <c r="H42" i="38" s="1"/>
  <c r="F42" i="38"/>
  <c r="R41" i="38" a="1"/>
  <c r="R41" i="38" s="1"/>
  <c r="P41" i="38"/>
  <c r="N41" i="38"/>
  <c r="L41" i="38"/>
  <c r="J41" i="38"/>
  <c r="H41" i="38" a="1"/>
  <c r="H41" i="38" s="1"/>
  <c r="F41" i="38"/>
  <c r="R40" i="38" a="1"/>
  <c r="R40" i="38" s="1"/>
  <c r="P40" i="38"/>
  <c r="N40" i="38"/>
  <c r="L40" i="38"/>
  <c r="J40" i="38"/>
  <c r="H40" i="38" a="1"/>
  <c r="H40" i="38" s="1"/>
  <c r="F40" i="38"/>
  <c r="R39" i="38" a="1"/>
  <c r="R39" i="38" s="1"/>
  <c r="P39" i="38"/>
  <c r="N39" i="38"/>
  <c r="L39" i="38"/>
  <c r="J39" i="38"/>
  <c r="H39" i="38" a="1"/>
  <c r="H39" i="38" s="1"/>
  <c r="F39" i="38"/>
  <c r="R38" i="38" a="1"/>
  <c r="R38" i="38" s="1"/>
  <c r="P38" i="38"/>
  <c r="N38" i="38"/>
  <c r="L38" i="38"/>
  <c r="J38" i="38"/>
  <c r="H38" i="38" a="1"/>
  <c r="H38" i="38" s="1"/>
  <c r="F38" i="38"/>
  <c r="R37" i="38" a="1"/>
  <c r="R37" i="38" s="1"/>
  <c r="P37" i="38"/>
  <c r="N37" i="38"/>
  <c r="L37" i="38"/>
  <c r="J37" i="38"/>
  <c r="H37" i="38" a="1"/>
  <c r="H37" i="38" s="1"/>
  <c r="F37" i="38"/>
  <c r="R36" i="38" a="1"/>
  <c r="R36" i="38" s="1"/>
  <c r="P36" i="38"/>
  <c r="N36" i="38"/>
  <c r="L36" i="38"/>
  <c r="J36" i="38"/>
  <c r="H36" i="38" a="1"/>
  <c r="H36" i="38" s="1"/>
  <c r="F36" i="38"/>
  <c r="R35" i="38" a="1"/>
  <c r="R35" i="38" s="1"/>
  <c r="P35" i="38"/>
  <c r="N35" i="38"/>
  <c r="L35" i="38"/>
  <c r="J35" i="38"/>
  <c r="H35" i="38" a="1"/>
  <c r="H35" i="38" s="1"/>
  <c r="F35" i="38"/>
  <c r="R34" i="38" a="1"/>
  <c r="R34" i="38" s="1"/>
  <c r="P34" i="38"/>
  <c r="N34" i="38"/>
  <c r="L34" i="38"/>
  <c r="J34" i="38"/>
  <c r="H34" i="38" a="1"/>
  <c r="H34" i="38" s="1"/>
  <c r="F34" i="38"/>
  <c r="R33" i="38" a="1"/>
  <c r="R33" i="38" s="1"/>
  <c r="P33" i="38"/>
  <c r="N33" i="38"/>
  <c r="L33" i="38"/>
  <c r="J33" i="38"/>
  <c r="H33" i="38" a="1"/>
  <c r="H33" i="38" s="1"/>
  <c r="F33" i="38"/>
  <c r="R32" i="38" a="1"/>
  <c r="R32" i="38" s="1"/>
  <c r="P32" i="38"/>
  <c r="N32" i="38"/>
  <c r="L32" i="38"/>
  <c r="J32" i="38"/>
  <c r="H32" i="38" a="1"/>
  <c r="H32" i="38" s="1"/>
  <c r="F32" i="38"/>
  <c r="R31" i="38" a="1"/>
  <c r="R31" i="38" s="1"/>
  <c r="P31" i="38"/>
  <c r="N31" i="38"/>
  <c r="L31" i="38"/>
  <c r="J31" i="38"/>
  <c r="H31" i="38" a="1"/>
  <c r="H31" i="38" s="1"/>
  <c r="F31" i="38"/>
  <c r="R30" i="38" a="1"/>
  <c r="R30" i="38" s="1"/>
  <c r="P30" i="38"/>
  <c r="N30" i="38"/>
  <c r="L30" i="38"/>
  <c r="J30" i="38"/>
  <c r="H30" i="38" a="1"/>
  <c r="H30" i="38" s="1"/>
  <c r="F30" i="38"/>
  <c r="R29" i="38" a="1"/>
  <c r="R29" i="38" s="1"/>
  <c r="P29" i="38"/>
  <c r="N29" i="38"/>
  <c r="L29" i="38"/>
  <c r="J29" i="38"/>
  <c r="H29" i="38" a="1"/>
  <c r="H29" i="38" s="1"/>
  <c r="F29" i="38"/>
  <c r="R28" i="38" a="1"/>
  <c r="R28" i="38" s="1"/>
  <c r="P28" i="38"/>
  <c r="N28" i="38"/>
  <c r="L28" i="38"/>
  <c r="J28" i="38"/>
  <c r="H28" i="38" a="1"/>
  <c r="H28" i="38" s="1"/>
  <c r="F28" i="38"/>
  <c r="R27" i="38" a="1"/>
  <c r="R27" i="38" s="1"/>
  <c r="P27" i="38"/>
  <c r="N27" i="38"/>
  <c r="L27" i="38"/>
  <c r="J27" i="38"/>
  <c r="H27" i="38" a="1"/>
  <c r="H27" i="38" s="1"/>
  <c r="F27" i="38"/>
  <c r="R26" i="38" a="1"/>
  <c r="R26" i="38" s="1"/>
  <c r="P26" i="38"/>
  <c r="N26" i="38"/>
  <c r="L26" i="38"/>
  <c r="J26" i="38"/>
  <c r="H26" i="38" a="1"/>
  <c r="H26" i="38" s="1"/>
  <c r="F26" i="38"/>
  <c r="R25" i="38" a="1"/>
  <c r="R25" i="38" s="1"/>
  <c r="P25" i="38"/>
  <c r="N25" i="38"/>
  <c r="L25" i="38"/>
  <c r="J25" i="38"/>
  <c r="H25" i="38" a="1"/>
  <c r="H25" i="38" s="1"/>
  <c r="F25" i="38"/>
  <c r="R24" i="38" a="1"/>
  <c r="R24" i="38" s="1"/>
  <c r="P24" i="38"/>
  <c r="N24" i="38"/>
  <c r="L24" i="38"/>
  <c r="J24" i="38"/>
  <c r="H24" i="38" a="1"/>
  <c r="H24" i="38" s="1"/>
  <c r="F24" i="38"/>
  <c r="R23" i="38" a="1"/>
  <c r="R23" i="38" s="1"/>
  <c r="P23" i="38"/>
  <c r="N23" i="38"/>
  <c r="L23" i="38"/>
  <c r="J23" i="38"/>
  <c r="H23" i="38" a="1"/>
  <c r="H23" i="38" s="1"/>
  <c r="F23" i="38"/>
  <c r="R22" i="38" a="1"/>
  <c r="R22" i="38" s="1"/>
  <c r="P22" i="38"/>
  <c r="N22" i="38"/>
  <c r="L22" i="38"/>
  <c r="J22" i="38"/>
  <c r="H22" i="38" a="1"/>
  <c r="H22" i="38" s="1"/>
  <c r="F22" i="38"/>
  <c r="R21" i="38" a="1"/>
  <c r="R21" i="38" s="1"/>
  <c r="P21" i="38"/>
  <c r="N21" i="38"/>
  <c r="L21" i="38"/>
  <c r="J21" i="38"/>
  <c r="H21" i="38" a="1"/>
  <c r="H21" i="38" s="1"/>
  <c r="F21" i="38"/>
  <c r="R20" i="38" a="1"/>
  <c r="R20" i="38" s="1"/>
  <c r="P20" i="38"/>
  <c r="N20" i="38"/>
  <c r="L20" i="38"/>
  <c r="J20" i="38"/>
  <c r="H20" i="38" a="1"/>
  <c r="H20" i="38" s="1"/>
  <c r="F20" i="38"/>
  <c r="R19" i="38" a="1"/>
  <c r="R19" i="38" s="1"/>
  <c r="P19" i="38"/>
  <c r="N19" i="38"/>
  <c r="L19" i="38"/>
  <c r="J19" i="38"/>
  <c r="H19" i="38" a="1"/>
  <c r="H19" i="38" s="1"/>
  <c r="F19" i="38"/>
  <c r="R18" i="38" a="1"/>
  <c r="R18" i="38" s="1"/>
  <c r="P18" i="38"/>
  <c r="N18" i="38"/>
  <c r="L18" i="38"/>
  <c r="J18" i="38"/>
  <c r="H18" i="38" a="1"/>
  <c r="H18" i="38" s="1"/>
  <c r="F18" i="38"/>
  <c r="R17" i="38" a="1"/>
  <c r="R17" i="38" s="1"/>
  <c r="P17" i="38"/>
  <c r="N17" i="38"/>
  <c r="L17" i="38"/>
  <c r="J17" i="38"/>
  <c r="H17" i="38"/>
  <c r="H17" i="38" a="1"/>
  <c r="F17" i="38"/>
  <c r="R16" i="38" a="1"/>
  <c r="R16" i="38" s="1"/>
  <c r="P16" i="38"/>
  <c r="N16" i="38"/>
  <c r="L16" i="38"/>
  <c r="J16" i="38"/>
  <c r="H16" i="38" a="1"/>
  <c r="H16" i="38" s="1"/>
  <c r="F16" i="38"/>
  <c r="R15" i="38" a="1"/>
  <c r="R15" i="38" s="1"/>
  <c r="P15" i="38"/>
  <c r="N15" i="38"/>
  <c r="L15" i="38"/>
  <c r="J15" i="38"/>
  <c r="H15" i="38" a="1"/>
  <c r="H15" i="38" s="1"/>
  <c r="F15" i="38"/>
  <c r="R14" i="38" a="1"/>
  <c r="R14" i="38" s="1"/>
  <c r="P14" i="38"/>
  <c r="N14" i="38"/>
  <c r="L14" i="38"/>
  <c r="J14" i="38"/>
  <c r="H14" i="38" a="1"/>
  <c r="H14" i="38" s="1"/>
  <c r="F14" i="38"/>
  <c r="R13" i="38" a="1"/>
  <c r="R13" i="38" s="1"/>
  <c r="P13" i="38"/>
  <c r="N13" i="38"/>
  <c r="L13" i="38"/>
  <c r="J13" i="38"/>
  <c r="H13" i="38" a="1"/>
  <c r="H13" i="38" s="1"/>
  <c r="F13" i="38"/>
  <c r="R12" i="38" a="1"/>
  <c r="R12" i="38" s="1"/>
  <c r="P12" i="38"/>
  <c r="N12" i="38"/>
  <c r="L12" i="38"/>
  <c r="J12" i="38"/>
  <c r="H12" i="38" a="1"/>
  <c r="H12" i="38" s="1"/>
  <c r="F12" i="38"/>
  <c r="R11" i="38" a="1"/>
  <c r="R11" i="38" s="1"/>
  <c r="P11" i="38"/>
  <c r="N11" i="38"/>
  <c r="L11" i="38"/>
  <c r="J11" i="38"/>
  <c r="H11" i="38" a="1"/>
  <c r="H11" i="38" s="1"/>
  <c r="F11" i="38"/>
  <c r="R10" i="38" a="1"/>
  <c r="R10" i="38" s="1"/>
  <c r="P10" i="38"/>
  <c r="N10" i="38"/>
  <c r="L10" i="38"/>
  <c r="J10" i="38"/>
  <c r="H10" i="38" a="1"/>
  <c r="H10" i="38" s="1"/>
  <c r="F10" i="38"/>
  <c r="R9" i="38" a="1"/>
  <c r="R9" i="38" s="1"/>
  <c r="P9" i="38"/>
  <c r="N9" i="38"/>
  <c r="L9" i="38"/>
  <c r="J9" i="38"/>
  <c r="H9" i="38" a="1"/>
  <c r="H9" i="38" s="1"/>
  <c r="F9" i="38"/>
  <c r="R8" i="38" a="1"/>
  <c r="R8" i="38" s="1"/>
  <c r="P8" i="38"/>
  <c r="N8" i="38"/>
  <c r="L8" i="38"/>
  <c r="J8" i="38"/>
  <c r="H8" i="38" a="1"/>
  <c r="H8" i="38" s="1"/>
  <c r="F8" i="38"/>
  <c r="R7" i="38" a="1"/>
  <c r="R7" i="38" s="1"/>
  <c r="P7" i="38"/>
  <c r="N7" i="38"/>
  <c r="L7" i="38"/>
  <c r="J7" i="38"/>
  <c r="H7" i="38" a="1"/>
  <c r="H7" i="38" s="1"/>
  <c r="F7" i="38"/>
  <c r="R6" i="38" a="1"/>
  <c r="R6" i="38" s="1"/>
  <c r="P6" i="38"/>
  <c r="N6" i="38"/>
  <c r="L6" i="38"/>
  <c r="J6" i="38"/>
  <c r="H6" i="38" a="1"/>
  <c r="H6" i="38" s="1"/>
  <c r="F6" i="38"/>
  <c r="R5" i="38" a="1"/>
  <c r="R5" i="38" s="1"/>
  <c r="P5" i="38"/>
  <c r="N5" i="38"/>
  <c r="L5" i="38"/>
  <c r="J5" i="38"/>
  <c r="H5" i="38" a="1"/>
  <c r="H5" i="38" s="1"/>
  <c r="F5" i="38"/>
  <c r="D24" i="37"/>
  <c r="J24" i="37" s="1"/>
  <c r="C24" i="37"/>
  <c r="E24" i="37" s="1"/>
  <c r="E23" i="37"/>
  <c r="C23" i="37"/>
  <c r="D23" i="37" s="1"/>
  <c r="J23" i="37" s="1"/>
  <c r="C22" i="37"/>
  <c r="E22" i="37" s="1"/>
  <c r="C21" i="37"/>
  <c r="E21" i="37" s="1"/>
  <c r="C20" i="37"/>
  <c r="E20" i="37" s="1"/>
  <c r="C19" i="37"/>
  <c r="D19" i="37" s="1"/>
  <c r="J19" i="37" s="1"/>
  <c r="C18" i="37"/>
  <c r="E18" i="37" s="1"/>
  <c r="C17" i="37"/>
  <c r="C16" i="37"/>
  <c r="D16" i="37" s="1"/>
  <c r="J16" i="37" s="1"/>
  <c r="C15" i="37"/>
  <c r="D15" i="37" s="1"/>
  <c r="J15" i="37" s="1"/>
  <c r="C14" i="37"/>
  <c r="D14" i="37" s="1"/>
  <c r="J14" i="37" s="1"/>
  <c r="C13" i="37"/>
  <c r="C12" i="37"/>
  <c r="D12" i="37" s="1"/>
  <c r="J12" i="37" s="1"/>
  <c r="C11" i="37"/>
  <c r="D11" i="37" s="1"/>
  <c r="J11" i="37" s="1"/>
  <c r="C10" i="37"/>
  <c r="D10" i="37" s="1"/>
  <c r="J10" i="37" s="1"/>
  <c r="C9" i="37"/>
  <c r="C8" i="37"/>
  <c r="D8" i="37" s="1"/>
  <c r="J8" i="37" s="1"/>
  <c r="C7" i="37"/>
  <c r="D7" i="37" s="1"/>
  <c r="J7" i="37" s="1"/>
  <c r="C6" i="37"/>
  <c r="D6" i="37" s="1"/>
  <c r="J6" i="37" s="1"/>
  <c r="C5" i="37"/>
  <c r="O95" i="33"/>
  <c r="C18" i="23"/>
  <c r="E18" i="23" s="1"/>
  <c r="C19" i="23"/>
  <c r="E19" i="23" s="1"/>
  <c r="C20" i="23"/>
  <c r="E20" i="23" s="1"/>
  <c r="C21" i="23"/>
  <c r="D21" i="23" s="1"/>
  <c r="J21" i="23" s="1"/>
  <c r="C22" i="23"/>
  <c r="E22" i="23" s="1"/>
  <c r="C23" i="23"/>
  <c r="E23" i="23" s="1"/>
  <c r="C24" i="23"/>
  <c r="E24" i="23" s="1"/>
  <c r="C17" i="23"/>
  <c r="D17" i="23" s="1"/>
  <c r="J17" i="23" s="1"/>
  <c r="D23" i="23" l="1"/>
  <c r="J23" i="23" s="1"/>
  <c r="S103" i="38"/>
  <c r="S101" i="38"/>
  <c r="S99" i="38"/>
  <c r="S23" i="38"/>
  <c r="S31" i="38"/>
  <c r="S39" i="38"/>
  <c r="S47" i="38"/>
  <c r="S55" i="38"/>
  <c r="S63" i="38"/>
  <c r="S71" i="38"/>
  <c r="S79" i="38"/>
  <c r="S87" i="38"/>
  <c r="S86" i="38"/>
  <c r="S95" i="38"/>
  <c r="D20" i="37"/>
  <c r="J20" i="37" s="1"/>
  <c r="S20" i="38"/>
  <c r="S90" i="38"/>
  <c r="S19" i="38"/>
  <c r="S27" i="38"/>
  <c r="S35" i="38"/>
  <c r="S43" i="38"/>
  <c r="S51" i="38"/>
  <c r="S59" i="38"/>
  <c r="S67" i="38"/>
  <c r="S75" i="38"/>
  <c r="S83" i="38"/>
  <c r="S91" i="38"/>
  <c r="S5" i="38"/>
  <c r="D19" i="23"/>
  <c r="J19" i="23" s="1"/>
  <c r="S18" i="38"/>
  <c r="S17" i="38"/>
  <c r="E21" i="23"/>
  <c r="D18" i="37"/>
  <c r="J18" i="37" s="1"/>
  <c r="D22" i="37"/>
  <c r="J22" i="37" s="1"/>
  <c r="S16" i="38"/>
  <c r="S12" i="38"/>
  <c r="S13" i="38"/>
  <c r="S10" i="38"/>
  <c r="S11" i="38"/>
  <c r="E19" i="37"/>
  <c r="S8" i="38"/>
  <c r="S9" i="38"/>
  <c r="S22" i="38"/>
  <c r="S26" i="38"/>
  <c r="S30" i="38"/>
  <c r="S34" i="38"/>
  <c r="S38" i="38"/>
  <c r="S42" i="38"/>
  <c r="S46" i="38"/>
  <c r="S50" i="38"/>
  <c r="S54" i="38"/>
  <c r="S58" i="38"/>
  <c r="S62" i="38"/>
  <c r="S66" i="38"/>
  <c r="S70" i="38"/>
  <c r="S74" i="38"/>
  <c r="S78" i="38"/>
  <c r="S82" i="38"/>
  <c r="D24" i="23"/>
  <c r="J24" i="23" s="1"/>
  <c r="S94" i="38"/>
  <c r="D18" i="23"/>
  <c r="J18" i="23" s="1"/>
  <c r="D22" i="23"/>
  <c r="J22" i="23" s="1"/>
  <c r="D20" i="23"/>
  <c r="J20" i="23" s="1"/>
  <c r="S6" i="38"/>
  <c r="S7" i="38"/>
  <c r="S14" i="38"/>
  <c r="S15" i="38"/>
  <c r="S25" i="38"/>
  <c r="S33" i="38"/>
  <c r="S41" i="38"/>
  <c r="S49" i="38"/>
  <c r="S57" i="38"/>
  <c r="S65" i="38"/>
  <c r="S73" i="38"/>
  <c r="S81" i="38"/>
  <c r="S89" i="38"/>
  <c r="S97" i="38"/>
  <c r="S21" i="38"/>
  <c r="S28" i="38"/>
  <c r="S36" i="38"/>
  <c r="S44" i="38"/>
  <c r="S52" i="38"/>
  <c r="S60" i="38"/>
  <c r="S68" i="38"/>
  <c r="S76" i="38"/>
  <c r="S84" i="38"/>
  <c r="S92" i="38"/>
  <c r="S29" i="38"/>
  <c r="S37" i="38"/>
  <c r="S45" i="38"/>
  <c r="S53" i="38"/>
  <c r="S61" i="38"/>
  <c r="S69" i="38"/>
  <c r="S77" i="38"/>
  <c r="S85" i="38"/>
  <c r="S93" i="38"/>
  <c r="S24" i="38"/>
  <c r="S32" i="38"/>
  <c r="S40" i="38"/>
  <c r="S48" i="38"/>
  <c r="S56" i="38"/>
  <c r="S64" i="38"/>
  <c r="S72" i="38"/>
  <c r="S80" i="38"/>
  <c r="S88" i="38"/>
  <c r="S96" i="38"/>
  <c r="S98" i="38"/>
  <c r="S100" i="38"/>
  <c r="S102" i="38"/>
  <c r="S104" i="38"/>
  <c r="D5" i="37"/>
  <c r="J5" i="37" s="1"/>
  <c r="D9" i="37"/>
  <c r="J9" i="37" s="1"/>
  <c r="D13" i="37"/>
  <c r="J13" i="37" s="1"/>
  <c r="D17" i="37"/>
  <c r="J17" i="37" s="1"/>
  <c r="D21" i="37"/>
  <c r="J21" i="37" s="1"/>
  <c r="T38" i="38" l="1"/>
  <c r="T104" i="38"/>
  <c r="T100" i="38"/>
  <c r="T98" i="38"/>
  <c r="T96" i="38"/>
  <c r="T64" i="38"/>
  <c r="T32" i="38"/>
  <c r="T77" i="38"/>
  <c r="T45" i="38"/>
  <c r="T84" i="38"/>
  <c r="T52" i="38"/>
  <c r="T21" i="38"/>
  <c r="T97" i="38"/>
  <c r="T65" i="38"/>
  <c r="T33" i="38"/>
  <c r="T20" i="38"/>
  <c r="T22" i="38"/>
  <c r="T6" i="38"/>
  <c r="T17" i="38"/>
  <c r="T78" i="38"/>
  <c r="T62" i="38"/>
  <c r="T42" i="38"/>
  <c r="T9" i="38"/>
  <c r="T83" i="38"/>
  <c r="T67" i="38"/>
  <c r="T51" i="38"/>
  <c r="T35" i="38"/>
  <c r="T19" i="38"/>
  <c r="T102" i="38"/>
  <c r="T88" i="38"/>
  <c r="T56" i="38"/>
  <c r="T24" i="38"/>
  <c r="T69" i="38"/>
  <c r="T37" i="38"/>
  <c r="T76" i="38"/>
  <c r="T44" i="38"/>
  <c r="T103" i="38"/>
  <c r="T89" i="38"/>
  <c r="T57" i="38"/>
  <c r="T25" i="38"/>
  <c r="T13" i="38"/>
  <c r="T15" i="38"/>
  <c r="T46" i="38"/>
  <c r="T8" i="38"/>
  <c r="T74" i="38"/>
  <c r="T58" i="38"/>
  <c r="T34" i="38"/>
  <c r="T95" i="38"/>
  <c r="T79" i="38"/>
  <c r="T63" i="38"/>
  <c r="T47" i="38"/>
  <c r="T31" i="38"/>
  <c r="T18" i="38"/>
  <c r="T80" i="38"/>
  <c r="T48" i="38"/>
  <c r="T93" i="38"/>
  <c r="T61" i="38"/>
  <c r="T29" i="38"/>
  <c r="T68" i="38"/>
  <c r="T36" i="38"/>
  <c r="T101" i="38"/>
  <c r="T81" i="38"/>
  <c r="T49" i="38"/>
  <c r="T94" i="38"/>
  <c r="T12" i="38"/>
  <c r="T14" i="38"/>
  <c r="T90" i="38"/>
  <c r="T70" i="38"/>
  <c r="T54" i="38"/>
  <c r="T26" i="38"/>
  <c r="T91" i="38"/>
  <c r="T75" i="38"/>
  <c r="T59" i="38"/>
  <c r="T43" i="38"/>
  <c r="T27" i="38"/>
  <c r="T11" i="38"/>
  <c r="T72" i="38"/>
  <c r="T40" i="38"/>
  <c r="T85" i="38"/>
  <c r="T53" i="38"/>
  <c r="T92" i="38"/>
  <c r="T60" i="38"/>
  <c r="T28" i="38"/>
  <c r="T99" i="38"/>
  <c r="T73" i="38"/>
  <c r="T41" i="38"/>
  <c r="T86" i="38"/>
  <c r="T5" i="38"/>
  <c r="T7" i="38"/>
  <c r="T30" i="38"/>
  <c r="T82" i="38"/>
  <c r="T66" i="38"/>
  <c r="T50" i="38"/>
  <c r="T16" i="38"/>
  <c r="T87" i="38"/>
  <c r="T71" i="38"/>
  <c r="T55" i="38"/>
  <c r="T39" i="38"/>
  <c r="T23" i="38"/>
  <c r="T10" i="38"/>
  <c r="S57" i="33" l="1" a="1"/>
  <c r="S57" i="33" s="1"/>
  <c r="S33" i="33" a="1"/>
  <c r="S33" i="33" s="1"/>
  <c r="S29" i="33" a="1"/>
  <c r="S29" i="33" s="1"/>
  <c r="S42" i="33" a="1"/>
  <c r="S42" i="33" s="1"/>
  <c r="S43" i="33" a="1"/>
  <c r="S43" i="33" s="1"/>
  <c r="S40" i="33" a="1"/>
  <c r="S40" i="33" s="1"/>
  <c r="S41" i="33" a="1"/>
  <c r="S41" i="33" s="1"/>
  <c r="S39" i="33" a="1"/>
  <c r="S39" i="33" s="1"/>
  <c r="S6" i="33" a="1"/>
  <c r="S6" i="33" s="1"/>
  <c r="S7" i="33" a="1"/>
  <c r="S7" i="33" s="1"/>
  <c r="S5" i="33" a="1"/>
  <c r="S5" i="33" s="1"/>
  <c r="S8" i="33" a="1"/>
  <c r="S8" i="33" s="1"/>
  <c r="S30" i="33" a="1"/>
  <c r="S30" i="33" s="1"/>
  <c r="S32" i="33" a="1"/>
  <c r="S32" i="33" s="1"/>
  <c r="S31" i="33" a="1"/>
  <c r="S31" i="33" s="1"/>
  <c r="S44" i="33" a="1"/>
  <c r="S44" i="33" s="1"/>
  <c r="S45" i="33" a="1"/>
  <c r="S45" i="33" s="1"/>
  <c r="S46" i="33" a="1"/>
  <c r="S46" i="33" s="1"/>
  <c r="S51" i="33" a="1"/>
  <c r="S51" i="33" s="1"/>
  <c r="S50" i="33" a="1"/>
  <c r="S50" i="33" s="1"/>
  <c r="S49" i="33" a="1"/>
  <c r="S49" i="33" s="1"/>
  <c r="S48" i="33" a="1"/>
  <c r="S48" i="33" s="1"/>
  <c r="S47" i="33" a="1"/>
  <c r="S47" i="33" s="1"/>
  <c r="S36" i="33" a="1"/>
  <c r="S36" i="33" s="1"/>
  <c r="S34" i="33" a="1"/>
  <c r="S34" i="33" s="1"/>
  <c r="S37" i="33" a="1"/>
  <c r="S37" i="33" s="1"/>
  <c r="S38" i="33" a="1"/>
  <c r="S38" i="33" s="1"/>
  <c r="S35" i="33" a="1"/>
  <c r="S35" i="33" s="1"/>
  <c r="S14" i="33" a="1"/>
  <c r="S14" i="33" s="1"/>
  <c r="S15" i="33" a="1"/>
  <c r="S15" i="33" s="1"/>
  <c r="S16" i="33" a="1"/>
  <c r="S16" i="33" s="1"/>
  <c r="S17" i="33" a="1"/>
  <c r="S17" i="33" s="1"/>
  <c r="S18" i="33" a="1"/>
  <c r="S18" i="33" s="1"/>
  <c r="S19" i="33" a="1"/>
  <c r="S19" i="33" s="1"/>
  <c r="S20" i="33" a="1"/>
  <c r="S20" i="33" s="1"/>
  <c r="S21" i="33" a="1"/>
  <c r="S21" i="33" s="1"/>
  <c r="S22" i="33" a="1"/>
  <c r="S22" i="33" s="1"/>
  <c r="S23" i="33" a="1"/>
  <c r="S23" i="33" s="1"/>
  <c r="S9" i="33" a="1"/>
  <c r="S9" i="33" s="1"/>
  <c r="S10" i="33" a="1"/>
  <c r="S10" i="33" s="1"/>
  <c r="S11" i="33" a="1"/>
  <c r="S11" i="33" s="1"/>
  <c r="S12" i="33" a="1"/>
  <c r="S12" i="33" s="1"/>
  <c r="S13" i="33" a="1"/>
  <c r="S13" i="33" s="1"/>
  <c r="S24" i="33" a="1"/>
  <c r="S24" i="33" s="1"/>
  <c r="S25" i="33" a="1"/>
  <c r="S25" i="33" s="1"/>
  <c r="S26" i="33" a="1"/>
  <c r="S26" i="33" s="1"/>
  <c r="S27" i="33" a="1"/>
  <c r="S27" i="33" s="1"/>
  <c r="S28" i="33" a="1"/>
  <c r="S28" i="33" s="1"/>
  <c r="S52" i="33" a="1"/>
  <c r="S52" i="33" s="1"/>
  <c r="S53" i="33" a="1"/>
  <c r="S53" i="33" s="1"/>
  <c r="S54" i="33" a="1"/>
  <c r="S54" i="33" s="1"/>
  <c r="S55" i="33" a="1"/>
  <c r="S55" i="33" s="1"/>
  <c r="S56" i="33" a="1"/>
  <c r="S56" i="33" s="1"/>
  <c r="S58" i="33" a="1"/>
  <c r="S58" i="33" s="1"/>
  <c r="S59" i="33" a="1"/>
  <c r="S59" i="33" s="1"/>
  <c r="S60" i="33" a="1"/>
  <c r="S60" i="33" s="1"/>
  <c r="S61" i="33" a="1"/>
  <c r="S61" i="33" s="1"/>
  <c r="S62" i="33" a="1"/>
  <c r="S62" i="33" s="1"/>
  <c r="S63" i="33" a="1"/>
  <c r="S63" i="33" s="1"/>
  <c r="S64" i="33" a="1"/>
  <c r="S64" i="33" s="1"/>
  <c r="S65" i="33" a="1"/>
  <c r="S65" i="33" s="1"/>
  <c r="S66" i="33" a="1"/>
  <c r="S66" i="33" s="1"/>
  <c r="S67" i="33" a="1"/>
  <c r="S67" i="33" s="1"/>
  <c r="S68" i="33" a="1"/>
  <c r="S68" i="33" s="1"/>
  <c r="S69" i="33" a="1"/>
  <c r="S69" i="33" s="1"/>
  <c r="S70" i="33" a="1"/>
  <c r="S70" i="33" s="1"/>
  <c r="S71" i="33" a="1"/>
  <c r="S71" i="33" s="1"/>
  <c r="S72" i="33" a="1"/>
  <c r="S72" i="33" s="1"/>
  <c r="S73" i="33" a="1"/>
  <c r="S73" i="33" s="1"/>
  <c r="S74" i="33" a="1"/>
  <c r="S74" i="33" s="1"/>
  <c r="S75" i="33" a="1"/>
  <c r="S75" i="33" s="1"/>
  <c r="S76" i="33" a="1"/>
  <c r="S76" i="33" s="1"/>
  <c r="S77" i="33" a="1"/>
  <c r="S77" i="33" s="1"/>
  <c r="S78" i="33" a="1"/>
  <c r="S78" i="33" s="1"/>
  <c r="S79" i="33" a="1"/>
  <c r="S79" i="33" s="1"/>
  <c r="S80" i="33" a="1"/>
  <c r="S80" i="33" s="1"/>
  <c r="S81" i="33" a="1"/>
  <c r="S81" i="33" s="1"/>
  <c r="S82" i="33" a="1"/>
  <c r="S82" i="33" s="1"/>
  <c r="S83" i="33" a="1"/>
  <c r="S83" i="33" s="1"/>
  <c r="S84" i="33" a="1"/>
  <c r="S84" i="33" s="1"/>
  <c r="S85" i="33" a="1"/>
  <c r="S85" i="33" s="1"/>
  <c r="S86" i="33" a="1"/>
  <c r="S86" i="33" s="1"/>
  <c r="S87" i="33" a="1"/>
  <c r="S87" i="33" s="1"/>
  <c r="S88" i="33" a="1"/>
  <c r="S88" i="33" s="1"/>
  <c r="S89" i="33" a="1"/>
  <c r="S89" i="33" s="1"/>
  <c r="S90" i="33" a="1"/>
  <c r="S90" i="33" s="1"/>
  <c r="S91" i="33" a="1"/>
  <c r="S91" i="33" s="1"/>
  <c r="S92" i="33" a="1"/>
  <c r="S92" i="33" s="1"/>
  <c r="S93" i="33" a="1"/>
  <c r="S93" i="33" s="1"/>
  <c r="S94" i="33" a="1"/>
  <c r="S94" i="33" s="1"/>
  <c r="S95" i="33" a="1"/>
  <c r="S95" i="33" s="1"/>
  <c r="S96" i="33" a="1"/>
  <c r="S96" i="33" s="1"/>
  <c r="S97" i="33" a="1"/>
  <c r="S97" i="33" s="1"/>
  <c r="S98" i="33" a="1"/>
  <c r="S98" i="33" s="1"/>
  <c r="S99" i="33" a="1"/>
  <c r="S99" i="33" s="1"/>
  <c r="S100" i="33" a="1"/>
  <c r="S100" i="33" s="1"/>
  <c r="S101" i="33" a="1"/>
  <c r="S101" i="33" s="1"/>
  <c r="S102" i="33" a="1"/>
  <c r="S102" i="33" s="1"/>
  <c r="S104" i="33" a="1"/>
  <c r="S104" i="33" s="1"/>
  <c r="S103" i="33" a="1"/>
  <c r="S103" i="33" s="1"/>
  <c r="C6" i="23"/>
  <c r="D6" i="23" s="1"/>
  <c r="C7" i="23"/>
  <c r="D7" i="23" s="1"/>
  <c r="J7" i="23" s="1"/>
  <c r="C8" i="23"/>
  <c r="D8" i="23" s="1"/>
  <c r="C9" i="23"/>
  <c r="D9" i="23" s="1"/>
  <c r="C10" i="23"/>
  <c r="D10" i="23" s="1"/>
  <c r="C11" i="23"/>
  <c r="D11" i="23" s="1"/>
  <c r="C12" i="23"/>
  <c r="D12" i="23" s="1"/>
  <c r="J12" i="23" s="1"/>
  <c r="C13" i="23"/>
  <c r="D13" i="23" s="1"/>
  <c r="C14" i="23"/>
  <c r="D14" i="23" s="1"/>
  <c r="J14" i="23" s="1"/>
  <c r="C15" i="23"/>
  <c r="D15" i="23" s="1"/>
  <c r="J15" i="23" s="1"/>
  <c r="C16" i="23"/>
  <c r="D16" i="23" s="1"/>
  <c r="J16" i="23" s="1"/>
  <c r="C5" i="23"/>
  <c r="D5" i="23" s="1"/>
  <c r="J5" i="23" s="1"/>
  <c r="I57" i="33" a="1"/>
  <c r="I57" i="33" s="1"/>
  <c r="I33" i="33" a="1"/>
  <c r="I33" i="33" s="1"/>
  <c r="I29" i="33" a="1"/>
  <c r="I29" i="33" s="1"/>
  <c r="I42" i="33" a="1"/>
  <c r="I42" i="33" s="1"/>
  <c r="I43" i="33" a="1"/>
  <c r="I43" i="33" s="1"/>
  <c r="I40" i="33" a="1"/>
  <c r="I40" i="33" s="1"/>
  <c r="I41" i="33" a="1"/>
  <c r="I41" i="33" s="1"/>
  <c r="I39" i="33" a="1"/>
  <c r="I39" i="33" s="1"/>
  <c r="I6" i="33" a="1"/>
  <c r="I6" i="33" s="1"/>
  <c r="I7" i="33" a="1"/>
  <c r="I7" i="33" s="1"/>
  <c r="I5" i="33" a="1"/>
  <c r="I5" i="33" s="1"/>
  <c r="I8" i="33" a="1"/>
  <c r="I8" i="33" s="1"/>
  <c r="I30" i="33" a="1"/>
  <c r="I30" i="33" s="1"/>
  <c r="I32" i="33" a="1"/>
  <c r="I32" i="33" s="1"/>
  <c r="I31" i="33" a="1"/>
  <c r="I31" i="33" s="1"/>
  <c r="I44" i="33" a="1"/>
  <c r="I44" i="33" s="1"/>
  <c r="I45" i="33" a="1"/>
  <c r="I45" i="33" s="1"/>
  <c r="I46" i="33" a="1"/>
  <c r="I46" i="33" s="1"/>
  <c r="I51" i="33" a="1"/>
  <c r="I51" i="33" s="1"/>
  <c r="I50" i="33" a="1"/>
  <c r="I50" i="33" s="1"/>
  <c r="I49" i="33" a="1"/>
  <c r="I49" i="33" s="1"/>
  <c r="I48" i="33" a="1"/>
  <c r="I48" i="33" s="1"/>
  <c r="I47" i="33" a="1"/>
  <c r="I47" i="33" s="1"/>
  <c r="I36" i="33" a="1"/>
  <c r="I36" i="33" s="1"/>
  <c r="I34" i="33" a="1"/>
  <c r="I34" i="33" s="1"/>
  <c r="I37" i="33" a="1"/>
  <c r="I37" i="33" s="1"/>
  <c r="I38" i="33" a="1"/>
  <c r="I38" i="33" s="1"/>
  <c r="I35" i="33" a="1"/>
  <c r="I35" i="33" s="1"/>
  <c r="I14" i="33" a="1"/>
  <c r="I14" i="33" s="1"/>
  <c r="I15" i="33" a="1"/>
  <c r="I15" i="33" s="1"/>
  <c r="I16" i="33" a="1"/>
  <c r="I16" i="33" s="1"/>
  <c r="I17" i="33" a="1"/>
  <c r="I17" i="33" s="1"/>
  <c r="I18" i="33" a="1"/>
  <c r="I18" i="33" s="1"/>
  <c r="I19" i="33" a="1"/>
  <c r="I19" i="33" s="1"/>
  <c r="I20" i="33" a="1"/>
  <c r="I20" i="33" s="1"/>
  <c r="I21" i="33" a="1"/>
  <c r="I21" i="33" s="1"/>
  <c r="I22" i="33" a="1"/>
  <c r="I22" i="33" s="1"/>
  <c r="I23" i="33" a="1"/>
  <c r="I23" i="33" s="1"/>
  <c r="I9" i="33" a="1"/>
  <c r="I9" i="33" s="1"/>
  <c r="I10" i="33" a="1"/>
  <c r="I10" i="33" s="1"/>
  <c r="I11" i="33" a="1"/>
  <c r="I11" i="33" s="1"/>
  <c r="I12" i="33" a="1"/>
  <c r="I12" i="33" s="1"/>
  <c r="I13" i="33" a="1"/>
  <c r="I13" i="33" s="1"/>
  <c r="I24" i="33" a="1"/>
  <c r="I24" i="33" s="1"/>
  <c r="I25" i="33" a="1"/>
  <c r="I25" i="33" s="1"/>
  <c r="I26" i="33" a="1"/>
  <c r="I26" i="33" s="1"/>
  <c r="I27" i="33" a="1"/>
  <c r="I27" i="33" s="1"/>
  <c r="I28" i="33" a="1"/>
  <c r="I28" i="33" s="1"/>
  <c r="I52" i="33" a="1"/>
  <c r="I52" i="33" s="1"/>
  <c r="I53" i="33" a="1"/>
  <c r="I53" i="33" s="1"/>
  <c r="I54" i="33" a="1"/>
  <c r="I54" i="33" s="1"/>
  <c r="I55" i="33" a="1"/>
  <c r="I55" i="33" s="1"/>
  <c r="I56" i="33" a="1"/>
  <c r="I56" i="33" s="1"/>
  <c r="I58" i="33" a="1"/>
  <c r="I58" i="33" s="1"/>
  <c r="I59" i="33" a="1"/>
  <c r="I59" i="33" s="1"/>
  <c r="I60" i="33" a="1"/>
  <c r="I60" i="33" s="1"/>
  <c r="I61" i="33" a="1"/>
  <c r="I61" i="33" s="1"/>
  <c r="I62" i="33" a="1"/>
  <c r="I62" i="33" s="1"/>
  <c r="I63" i="33" a="1"/>
  <c r="I63" i="33" s="1"/>
  <c r="I64" i="33" a="1"/>
  <c r="I64" i="33" s="1"/>
  <c r="I65" i="33" a="1"/>
  <c r="I65" i="33" s="1"/>
  <c r="I66" i="33" a="1"/>
  <c r="I66" i="33" s="1"/>
  <c r="I67" i="33" a="1"/>
  <c r="I67" i="33" s="1"/>
  <c r="I68" i="33" a="1"/>
  <c r="I68" i="33" s="1"/>
  <c r="I69" i="33" a="1"/>
  <c r="I69" i="33" s="1"/>
  <c r="I70" i="33" a="1"/>
  <c r="I70" i="33" s="1"/>
  <c r="I71" i="33" a="1"/>
  <c r="I71" i="33" s="1"/>
  <c r="I72" i="33" a="1"/>
  <c r="I72" i="33" s="1"/>
  <c r="I73" i="33" a="1"/>
  <c r="I73" i="33" s="1"/>
  <c r="I74" i="33" a="1"/>
  <c r="I74" i="33" s="1"/>
  <c r="I75" i="33" a="1"/>
  <c r="I75" i="33" s="1"/>
  <c r="I76" i="33" a="1"/>
  <c r="I76" i="33" s="1"/>
  <c r="I77" i="33" a="1"/>
  <c r="I77" i="33" s="1"/>
  <c r="I78" i="33" a="1"/>
  <c r="I78" i="33" s="1"/>
  <c r="I79" i="33" a="1"/>
  <c r="I79" i="33" s="1"/>
  <c r="I80" i="33" a="1"/>
  <c r="I80" i="33" s="1"/>
  <c r="I81" i="33" a="1"/>
  <c r="I81" i="33" s="1"/>
  <c r="I82" i="33" a="1"/>
  <c r="I82" i="33" s="1"/>
  <c r="I83" i="33" a="1"/>
  <c r="I83" i="33" s="1"/>
  <c r="I84" i="33" a="1"/>
  <c r="I84" i="33" s="1"/>
  <c r="I85" i="33" a="1"/>
  <c r="I85" i="33" s="1"/>
  <c r="I86" i="33" a="1"/>
  <c r="I86" i="33" s="1"/>
  <c r="I87" i="33" a="1"/>
  <c r="I87" i="33" s="1"/>
  <c r="I88" i="33" a="1"/>
  <c r="I88" i="33" s="1"/>
  <c r="I89" i="33" a="1"/>
  <c r="I89" i="33" s="1"/>
  <c r="I90" i="33" a="1"/>
  <c r="I90" i="33" s="1"/>
  <c r="I91" i="33" a="1"/>
  <c r="I91" i="33" s="1"/>
  <c r="I92" i="33" a="1"/>
  <c r="I92" i="33" s="1"/>
  <c r="I93" i="33" a="1"/>
  <c r="I93" i="33" s="1"/>
  <c r="I94" i="33" a="1"/>
  <c r="I94" i="33" s="1"/>
  <c r="I95" i="33" a="1"/>
  <c r="I95" i="33" s="1"/>
  <c r="I96" i="33" a="1"/>
  <c r="I96" i="33" s="1"/>
  <c r="I97" i="33" a="1"/>
  <c r="I97" i="33" s="1"/>
  <c r="I98" i="33" a="1"/>
  <c r="I98" i="33" s="1"/>
  <c r="I99" i="33" a="1"/>
  <c r="I99" i="33" s="1"/>
  <c r="I100" i="33" a="1"/>
  <c r="I100" i="33" s="1"/>
  <c r="I101" i="33" a="1"/>
  <c r="I101" i="33" s="1"/>
  <c r="I102" i="33" a="1"/>
  <c r="I102" i="33" s="1"/>
  <c r="I104" i="33" a="1"/>
  <c r="I104" i="33" s="1"/>
  <c r="I103" i="33" a="1"/>
  <c r="I103" i="33" s="1"/>
  <c r="Q57" i="33"/>
  <c r="Q33" i="33"/>
  <c r="Q29" i="33"/>
  <c r="Q42" i="33"/>
  <c r="Q43" i="33"/>
  <c r="Q40" i="33"/>
  <c r="Q41" i="33"/>
  <c r="Q39" i="33"/>
  <c r="Q6" i="33"/>
  <c r="Q7" i="33"/>
  <c r="Q5" i="33"/>
  <c r="Q8" i="33"/>
  <c r="Q30" i="33"/>
  <c r="Q32" i="33"/>
  <c r="Q31" i="33"/>
  <c r="Q44" i="33"/>
  <c r="Q45" i="33"/>
  <c r="Q46" i="33"/>
  <c r="Q51" i="33"/>
  <c r="Q50" i="33"/>
  <c r="Q49" i="33"/>
  <c r="Q48" i="33"/>
  <c r="Q47" i="33"/>
  <c r="Q36" i="33"/>
  <c r="Q34" i="33"/>
  <c r="Q37" i="33"/>
  <c r="Q38" i="33"/>
  <c r="Q35" i="33"/>
  <c r="Q14" i="33"/>
  <c r="Q15" i="33"/>
  <c r="Q16" i="33"/>
  <c r="Q17" i="33"/>
  <c r="Q18" i="33"/>
  <c r="Q19" i="33"/>
  <c r="Q20" i="33"/>
  <c r="Q21" i="33"/>
  <c r="Q22" i="33"/>
  <c r="Q23" i="33"/>
  <c r="Q9" i="33"/>
  <c r="Q10" i="33"/>
  <c r="Q11" i="33"/>
  <c r="Q12" i="33"/>
  <c r="Q13" i="33"/>
  <c r="Q24" i="33"/>
  <c r="Q25" i="33"/>
  <c r="Q26" i="33"/>
  <c r="Q27" i="33"/>
  <c r="Q28" i="33"/>
  <c r="Q52" i="33"/>
  <c r="Q53" i="33"/>
  <c r="Q54" i="33"/>
  <c r="Q55" i="33"/>
  <c r="Q56" i="33"/>
  <c r="Q58" i="33"/>
  <c r="Q59" i="33"/>
  <c r="Q60" i="33"/>
  <c r="Q61" i="33"/>
  <c r="Q62" i="33"/>
  <c r="Q63" i="33"/>
  <c r="Q64" i="33"/>
  <c r="Q65" i="33"/>
  <c r="Q66" i="33"/>
  <c r="Q67" i="33"/>
  <c r="Q68" i="33"/>
  <c r="Q69" i="33"/>
  <c r="Q70" i="33"/>
  <c r="Q71" i="33"/>
  <c r="Q72" i="33"/>
  <c r="Q73" i="33"/>
  <c r="Q74" i="33"/>
  <c r="Q75" i="33"/>
  <c r="Q76" i="33"/>
  <c r="Q77" i="33"/>
  <c r="Q78" i="33"/>
  <c r="Q79" i="33"/>
  <c r="Q80" i="33"/>
  <c r="Q81" i="33"/>
  <c r="Q82" i="33"/>
  <c r="Q83" i="33"/>
  <c r="Q84" i="33"/>
  <c r="Q85" i="33"/>
  <c r="Q86" i="33"/>
  <c r="Q87" i="33"/>
  <c r="Q88" i="33"/>
  <c r="Q89" i="33"/>
  <c r="Q90" i="33"/>
  <c r="Q91" i="33"/>
  <c r="Q92" i="33"/>
  <c r="Q93" i="33"/>
  <c r="Q94" i="33"/>
  <c r="Q95" i="33"/>
  <c r="Q96" i="33"/>
  <c r="Q97" i="33"/>
  <c r="Q98" i="33"/>
  <c r="Q99" i="33"/>
  <c r="Q100" i="33"/>
  <c r="Q101" i="33"/>
  <c r="Q102" i="33"/>
  <c r="Q104" i="33"/>
  <c r="Q103" i="33"/>
  <c r="O57" i="33"/>
  <c r="O33" i="33"/>
  <c r="O29" i="33"/>
  <c r="O42" i="33"/>
  <c r="O43" i="33"/>
  <c r="O40" i="33"/>
  <c r="O41" i="33"/>
  <c r="O39" i="33"/>
  <c r="O6" i="33"/>
  <c r="O7" i="33"/>
  <c r="O5" i="33"/>
  <c r="O8" i="33"/>
  <c r="O30" i="33"/>
  <c r="O32" i="33"/>
  <c r="O31" i="33"/>
  <c r="O44" i="33"/>
  <c r="O45" i="33"/>
  <c r="O46" i="33"/>
  <c r="O51" i="33"/>
  <c r="O50" i="33"/>
  <c r="O49" i="33"/>
  <c r="O48" i="33"/>
  <c r="O47" i="33"/>
  <c r="O36" i="33"/>
  <c r="O34" i="33"/>
  <c r="O37" i="33"/>
  <c r="O38" i="33"/>
  <c r="O35" i="33"/>
  <c r="O14" i="33"/>
  <c r="O15" i="33"/>
  <c r="O16" i="33"/>
  <c r="O17" i="33"/>
  <c r="O18" i="33"/>
  <c r="O19" i="33"/>
  <c r="O20" i="33"/>
  <c r="O21" i="33"/>
  <c r="O22" i="33"/>
  <c r="O23" i="33"/>
  <c r="O9" i="33"/>
  <c r="O10" i="33"/>
  <c r="O11" i="33"/>
  <c r="O12" i="33"/>
  <c r="O13" i="33"/>
  <c r="O24" i="33"/>
  <c r="O25" i="33"/>
  <c r="O26" i="33"/>
  <c r="O27" i="33"/>
  <c r="O28" i="33"/>
  <c r="O52" i="33"/>
  <c r="O53" i="33"/>
  <c r="O54" i="33"/>
  <c r="O55" i="33"/>
  <c r="O56" i="33"/>
  <c r="O58" i="33"/>
  <c r="O59" i="33"/>
  <c r="O60" i="33"/>
  <c r="O61" i="33"/>
  <c r="O62" i="33"/>
  <c r="O63" i="33"/>
  <c r="O64" i="33"/>
  <c r="O65" i="33"/>
  <c r="O66" i="33"/>
  <c r="O67" i="33"/>
  <c r="O68" i="33"/>
  <c r="O69" i="33"/>
  <c r="O70" i="33"/>
  <c r="O71" i="33"/>
  <c r="O72" i="33"/>
  <c r="O73" i="33"/>
  <c r="O74" i="33"/>
  <c r="O75" i="33"/>
  <c r="O76" i="33"/>
  <c r="O77" i="33"/>
  <c r="O78" i="33"/>
  <c r="O79" i="33"/>
  <c r="O80" i="33"/>
  <c r="O81" i="33"/>
  <c r="O82" i="33"/>
  <c r="O83" i="33"/>
  <c r="O84" i="33"/>
  <c r="O85" i="33"/>
  <c r="O86" i="33"/>
  <c r="O87" i="33"/>
  <c r="O88" i="33"/>
  <c r="O89" i="33"/>
  <c r="O90" i="33"/>
  <c r="O91" i="33"/>
  <c r="O92" i="33"/>
  <c r="O93" i="33"/>
  <c r="O94" i="33"/>
  <c r="O96" i="33"/>
  <c r="O97" i="33"/>
  <c r="O98" i="33"/>
  <c r="O99" i="33"/>
  <c r="O100" i="33"/>
  <c r="O101" i="33"/>
  <c r="O102" i="33"/>
  <c r="O104" i="33"/>
  <c r="O103" i="33"/>
  <c r="M57" i="33"/>
  <c r="M33" i="33"/>
  <c r="M29" i="33"/>
  <c r="M42" i="33"/>
  <c r="M43" i="33"/>
  <c r="M40" i="33"/>
  <c r="M41" i="33"/>
  <c r="M39" i="33"/>
  <c r="M6" i="33"/>
  <c r="M7" i="33"/>
  <c r="M5" i="33"/>
  <c r="M8" i="33"/>
  <c r="M30" i="33"/>
  <c r="M32" i="33"/>
  <c r="M31" i="33"/>
  <c r="M44" i="33"/>
  <c r="M45" i="33"/>
  <c r="M46" i="33"/>
  <c r="M51" i="33"/>
  <c r="M50" i="33"/>
  <c r="M49" i="33"/>
  <c r="M48" i="33"/>
  <c r="M47" i="33"/>
  <c r="M36" i="33"/>
  <c r="M34" i="33"/>
  <c r="M37" i="33"/>
  <c r="M38" i="33"/>
  <c r="M35" i="33"/>
  <c r="M14" i="33"/>
  <c r="M15" i="33"/>
  <c r="M16" i="33"/>
  <c r="M17" i="33"/>
  <c r="M18" i="33"/>
  <c r="M19" i="33"/>
  <c r="M20" i="33"/>
  <c r="M21" i="33"/>
  <c r="M22" i="33"/>
  <c r="M23" i="33"/>
  <c r="M9" i="33"/>
  <c r="M10" i="33"/>
  <c r="M11" i="33"/>
  <c r="M12" i="33"/>
  <c r="M13" i="33"/>
  <c r="M24" i="33"/>
  <c r="M25" i="33"/>
  <c r="M26" i="33"/>
  <c r="M27" i="33"/>
  <c r="M28" i="33"/>
  <c r="M52" i="33"/>
  <c r="M53" i="33"/>
  <c r="M54" i="33"/>
  <c r="M55" i="33"/>
  <c r="M56" i="33"/>
  <c r="M58" i="33"/>
  <c r="M59" i="33"/>
  <c r="M60" i="33"/>
  <c r="M61" i="33"/>
  <c r="M62" i="33"/>
  <c r="M63" i="33"/>
  <c r="M64" i="33"/>
  <c r="M65" i="33"/>
  <c r="M66" i="33"/>
  <c r="M67" i="33"/>
  <c r="M68" i="33"/>
  <c r="M69" i="33"/>
  <c r="M70" i="33"/>
  <c r="M71" i="33"/>
  <c r="M72" i="33"/>
  <c r="M73" i="33"/>
  <c r="M74" i="33"/>
  <c r="M75" i="33"/>
  <c r="M76" i="33"/>
  <c r="M77" i="33"/>
  <c r="M78" i="33"/>
  <c r="M79" i="33"/>
  <c r="M80" i="33"/>
  <c r="M81" i="33"/>
  <c r="M82" i="33"/>
  <c r="M83" i="33"/>
  <c r="M84" i="33"/>
  <c r="M85" i="33"/>
  <c r="M86" i="33"/>
  <c r="M87" i="33"/>
  <c r="M88" i="33"/>
  <c r="M89" i="33"/>
  <c r="M90" i="33"/>
  <c r="M91" i="33"/>
  <c r="M92" i="33"/>
  <c r="M93" i="33"/>
  <c r="M94" i="33"/>
  <c r="M95" i="33"/>
  <c r="M96" i="33"/>
  <c r="M97" i="33"/>
  <c r="M98" i="33"/>
  <c r="M99" i="33"/>
  <c r="M100" i="33"/>
  <c r="M101" i="33"/>
  <c r="M102" i="33"/>
  <c r="M104" i="33"/>
  <c r="M103" i="33"/>
  <c r="K57" i="33"/>
  <c r="K33" i="33"/>
  <c r="K29" i="33"/>
  <c r="K42" i="33"/>
  <c r="K43" i="33"/>
  <c r="K40" i="33"/>
  <c r="K41" i="33"/>
  <c r="K39" i="33"/>
  <c r="K6" i="33"/>
  <c r="K7" i="33"/>
  <c r="K5" i="33"/>
  <c r="K8" i="33"/>
  <c r="K30" i="33"/>
  <c r="K32" i="33"/>
  <c r="K31" i="33"/>
  <c r="K44" i="33"/>
  <c r="K45" i="33"/>
  <c r="K46" i="33"/>
  <c r="K51" i="33"/>
  <c r="K50" i="33"/>
  <c r="K49" i="33"/>
  <c r="K48" i="33"/>
  <c r="K47" i="33"/>
  <c r="K36" i="33"/>
  <c r="K34" i="33"/>
  <c r="K37" i="33"/>
  <c r="K38" i="33"/>
  <c r="K35" i="33"/>
  <c r="K14" i="33"/>
  <c r="K15" i="33"/>
  <c r="K16" i="33"/>
  <c r="K17" i="33"/>
  <c r="K18" i="33"/>
  <c r="K19" i="33"/>
  <c r="K20" i="33"/>
  <c r="K21" i="33"/>
  <c r="K22" i="33"/>
  <c r="K23" i="33"/>
  <c r="K9" i="33"/>
  <c r="K10" i="33"/>
  <c r="K11" i="33"/>
  <c r="K12" i="33"/>
  <c r="K13" i="33"/>
  <c r="K24" i="33"/>
  <c r="K25" i="33"/>
  <c r="K26" i="33"/>
  <c r="K27" i="33"/>
  <c r="K28" i="33"/>
  <c r="K52" i="33"/>
  <c r="K53" i="33"/>
  <c r="K54" i="33"/>
  <c r="K55" i="33"/>
  <c r="K56" i="33"/>
  <c r="K58" i="33"/>
  <c r="K59" i="33"/>
  <c r="K60" i="33"/>
  <c r="K61" i="33"/>
  <c r="K62" i="33"/>
  <c r="K63" i="33"/>
  <c r="K64" i="33"/>
  <c r="K65" i="33"/>
  <c r="K66" i="33"/>
  <c r="K67" i="33"/>
  <c r="K68" i="33"/>
  <c r="K69" i="33"/>
  <c r="K70" i="33"/>
  <c r="K71" i="33"/>
  <c r="K72" i="33"/>
  <c r="K73" i="33"/>
  <c r="K74" i="33"/>
  <c r="K75" i="33"/>
  <c r="K76" i="33"/>
  <c r="K77" i="33"/>
  <c r="K78" i="33"/>
  <c r="K79" i="33"/>
  <c r="K80" i="33"/>
  <c r="K81" i="33"/>
  <c r="K82" i="33"/>
  <c r="K83" i="33"/>
  <c r="K84" i="33"/>
  <c r="K85" i="33"/>
  <c r="K86" i="33"/>
  <c r="K87" i="33"/>
  <c r="K88" i="33"/>
  <c r="K89" i="33"/>
  <c r="K90" i="33"/>
  <c r="K91" i="33"/>
  <c r="K92" i="33"/>
  <c r="K93" i="33"/>
  <c r="K94" i="33"/>
  <c r="K95" i="33"/>
  <c r="K96" i="33"/>
  <c r="K97" i="33"/>
  <c r="K98" i="33"/>
  <c r="K99" i="33"/>
  <c r="K100" i="33"/>
  <c r="K101" i="33"/>
  <c r="K102" i="33"/>
  <c r="K104" i="33"/>
  <c r="K103" i="33"/>
  <c r="J8" i="23" l="1"/>
  <c r="J11" i="23"/>
  <c r="J10" i="23"/>
  <c r="J6" i="23"/>
  <c r="J13" i="23"/>
  <c r="J9" i="23"/>
  <c r="G57" i="33"/>
  <c r="G33" i="33"/>
  <c r="G29" i="33"/>
  <c r="G42" i="33"/>
  <c r="G43" i="33"/>
  <c r="G40" i="33"/>
  <c r="G41" i="33"/>
  <c r="G39" i="33"/>
  <c r="G6" i="33"/>
  <c r="G7" i="33"/>
  <c r="G5" i="33"/>
  <c r="G8" i="33"/>
  <c r="G30" i="33"/>
  <c r="G32" i="33"/>
  <c r="G31" i="33"/>
  <c r="G44" i="33"/>
  <c r="G45" i="33"/>
  <c r="G46" i="33"/>
  <c r="G51" i="33"/>
  <c r="G50" i="33"/>
  <c r="G49" i="33"/>
  <c r="G48" i="33"/>
  <c r="G47" i="33"/>
  <c r="G36" i="33"/>
  <c r="G34" i="33"/>
  <c r="G37" i="33"/>
  <c r="G38" i="33"/>
  <c r="G35" i="33"/>
  <c r="G14" i="33"/>
  <c r="G15" i="33"/>
  <c r="G16" i="33"/>
  <c r="G17" i="33"/>
  <c r="G18" i="33"/>
  <c r="G19" i="33"/>
  <c r="G20" i="33"/>
  <c r="G21" i="33"/>
  <c r="G22" i="33"/>
  <c r="G23" i="33"/>
  <c r="G9" i="33"/>
  <c r="G10" i="33"/>
  <c r="G11" i="33"/>
  <c r="G12" i="33"/>
  <c r="G13" i="33"/>
  <c r="G24" i="33"/>
  <c r="G25" i="33"/>
  <c r="G26" i="33"/>
  <c r="G27" i="33"/>
  <c r="G28" i="33"/>
  <c r="G52" i="33"/>
  <c r="G53" i="33"/>
  <c r="G54" i="33"/>
  <c r="G55" i="33"/>
  <c r="G56" i="33"/>
  <c r="G58" i="33"/>
  <c r="G59" i="33"/>
  <c r="G60" i="33"/>
  <c r="G61" i="33"/>
  <c r="G62" i="33"/>
  <c r="G63" i="33"/>
  <c r="G64" i="33"/>
  <c r="G65" i="33"/>
  <c r="G66" i="33"/>
  <c r="G67" i="33"/>
  <c r="G68" i="33"/>
  <c r="G69" i="33"/>
  <c r="G70" i="33"/>
  <c r="G71" i="33"/>
  <c r="G72" i="33"/>
  <c r="G73" i="33"/>
  <c r="G74" i="33"/>
  <c r="G75" i="33"/>
  <c r="G76" i="33"/>
  <c r="G77" i="33"/>
  <c r="G78" i="33"/>
  <c r="G79" i="33"/>
  <c r="G80" i="33"/>
  <c r="G81" i="33"/>
  <c r="G82" i="33"/>
  <c r="G83" i="33"/>
  <c r="G84" i="33"/>
  <c r="G85" i="33"/>
  <c r="G86" i="33"/>
  <c r="G87" i="33"/>
  <c r="G88" i="33"/>
  <c r="G89" i="33"/>
  <c r="G90" i="33"/>
  <c r="G91" i="33"/>
  <c r="G92" i="33"/>
  <c r="G93" i="33"/>
  <c r="G94" i="33"/>
  <c r="G95" i="33"/>
  <c r="G96" i="33"/>
  <c r="G97" i="33"/>
  <c r="G98" i="33"/>
  <c r="G99" i="33"/>
  <c r="G100" i="33"/>
  <c r="G101" i="33"/>
  <c r="G102" i="33"/>
  <c r="G104" i="33"/>
  <c r="G103" i="33"/>
  <c r="T83" i="33" l="1"/>
  <c r="U83" i="33" s="1"/>
  <c r="T82" i="33"/>
  <c r="U82" i="33" s="1"/>
  <c r="T81" i="33"/>
  <c r="U81" i="33" s="1"/>
  <c r="T80" i="33"/>
  <c r="U80" i="33" s="1"/>
  <c r="T79" i="33"/>
  <c r="U79" i="33" s="1"/>
  <c r="T78" i="33"/>
  <c r="U78" i="33" s="1"/>
  <c r="T77" i="33"/>
  <c r="U77" i="33" s="1"/>
  <c r="T76" i="33"/>
  <c r="U76" i="33" s="1"/>
  <c r="T75" i="33"/>
  <c r="U75" i="33" s="1"/>
  <c r="T74" i="33"/>
  <c r="U74" i="33" s="1"/>
  <c r="T85" i="33"/>
  <c r="U85" i="33" s="1"/>
  <c r="T84" i="33"/>
  <c r="U84" i="33" s="1"/>
  <c r="T86" i="33"/>
  <c r="U86" i="33" s="1"/>
  <c r="T70" i="33"/>
  <c r="U70" i="33" s="1"/>
  <c r="T96" i="33"/>
  <c r="U96" i="33" s="1"/>
  <c r="T92" i="33"/>
  <c r="U92" i="33" s="1"/>
  <c r="T41" i="33"/>
  <c r="U41" i="33" s="1"/>
  <c r="T66" i="33"/>
  <c r="U66" i="33" s="1"/>
  <c r="T101" i="33"/>
  <c r="U101" i="33" s="1"/>
  <c r="T10" i="33"/>
  <c r="U10" i="33" s="1"/>
  <c r="T89" i="33"/>
  <c r="U89" i="33" s="1"/>
  <c r="T22" i="33"/>
  <c r="U22" i="33" s="1"/>
  <c r="T56" i="33"/>
  <c r="U56" i="33" s="1"/>
  <c r="T102" i="33"/>
  <c r="U102" i="33" s="1"/>
  <c r="T47" i="33"/>
  <c r="U47" i="33" s="1"/>
  <c r="T50" i="33"/>
  <c r="U50" i="33" s="1"/>
  <c r="T31" i="33"/>
  <c r="U31" i="33" s="1"/>
  <c r="T11" i="33"/>
  <c r="U11" i="33" s="1"/>
  <c r="T20" i="33"/>
  <c r="U20" i="33" s="1"/>
  <c r="T30" i="33"/>
  <c r="U30" i="33" s="1"/>
  <c r="T29" i="33"/>
  <c r="U29" i="33" s="1"/>
  <c r="T24" i="33"/>
  <c r="U24" i="33" s="1"/>
  <c r="T32" i="33"/>
  <c r="U32" i="33" s="1"/>
  <c r="T46" i="33"/>
  <c r="U46" i="33" s="1"/>
  <c r="T58" i="33"/>
  <c r="U58" i="33" s="1"/>
  <c r="T99" i="33"/>
  <c r="U99" i="33" s="1"/>
  <c r="T52" i="33"/>
  <c r="U52" i="33" s="1"/>
  <c r="T40" i="33"/>
  <c r="U40" i="33" s="1"/>
  <c r="T65" i="33"/>
  <c r="U65" i="33" s="1"/>
  <c r="T8" i="33"/>
  <c r="T57" i="33"/>
  <c r="U57" i="33" s="1"/>
  <c r="T88" i="33"/>
  <c r="U88" i="33" s="1"/>
  <c r="T5" i="33"/>
  <c r="T21" i="33"/>
  <c r="U21" i="33" s="1"/>
  <c r="T48" i="33"/>
  <c r="U48" i="33" s="1"/>
  <c r="T63" i="33"/>
  <c r="U63" i="33" s="1"/>
  <c r="T9" i="33"/>
  <c r="U9" i="33" s="1"/>
  <c r="T15" i="33"/>
  <c r="U15" i="33" s="1"/>
  <c r="T36" i="33"/>
  <c r="U36" i="33" s="1"/>
  <c r="T13" i="33"/>
  <c r="U13" i="33" s="1"/>
  <c r="T25" i="33"/>
  <c r="U25" i="33" s="1"/>
  <c r="T27" i="33"/>
  <c r="U27" i="33" s="1"/>
  <c r="T37" i="33"/>
  <c r="U37" i="33" s="1"/>
  <c r="T23" i="33"/>
  <c r="U23" i="33" s="1"/>
  <c r="T38" i="33"/>
  <c r="U38" i="33" s="1"/>
  <c r="T49" i="33"/>
  <c r="U49" i="33" s="1"/>
  <c r="T44" i="33"/>
  <c r="U44" i="33" s="1"/>
  <c r="T34" i="33"/>
  <c r="T17" i="33"/>
  <c r="U17" i="33" s="1"/>
  <c r="T35" i="33"/>
  <c r="U35" i="33" s="1"/>
  <c r="T51" i="33"/>
  <c r="U51" i="33" s="1"/>
  <c r="T16" i="33"/>
  <c r="U16" i="33" s="1"/>
  <c r="T42" i="33"/>
  <c r="U42" i="33" s="1"/>
  <c r="T45" i="33"/>
  <c r="U45" i="33" s="1"/>
  <c r="T19" i="33"/>
  <c r="U19" i="33" s="1"/>
  <c r="T14" i="33"/>
  <c r="U14" i="33" s="1"/>
  <c r="T7" i="33"/>
  <c r="T18" i="33"/>
  <c r="U18" i="33" s="1"/>
  <c r="T90" i="33"/>
  <c r="U90" i="33" s="1"/>
  <c r="T12" i="33"/>
  <c r="U12" i="33" s="1"/>
  <c r="T91" i="33"/>
  <c r="U91" i="33" s="1"/>
  <c r="T64" i="33"/>
  <c r="U64" i="33" s="1"/>
  <c r="T100" i="33"/>
  <c r="U100" i="33" s="1"/>
  <c r="T59" i="33"/>
  <c r="U59" i="33" s="1"/>
  <c r="T95" i="33"/>
  <c r="U95" i="33" s="1"/>
  <c r="T6" i="33"/>
  <c r="T28" i="33"/>
  <c r="T67" i="33"/>
  <c r="U67" i="33" s="1"/>
  <c r="T60" i="33"/>
  <c r="U60" i="33" s="1"/>
  <c r="T71" i="33"/>
  <c r="U71" i="33" s="1"/>
  <c r="T43" i="33"/>
  <c r="U43" i="33" s="1"/>
  <c r="T33" i="33"/>
  <c r="U33" i="33" s="1"/>
  <c r="T53" i="33"/>
  <c r="U53" i="33" s="1"/>
  <c r="T98" i="33"/>
  <c r="U98" i="33" s="1"/>
  <c r="T94" i="33"/>
  <c r="U94" i="33" s="1"/>
  <c r="T26" i="33"/>
  <c r="U26" i="33" s="1"/>
  <c r="T61" i="33"/>
  <c r="U61" i="33" s="1"/>
  <c r="T39" i="33"/>
  <c r="U39" i="33" s="1"/>
  <c r="T104" i="33"/>
  <c r="U104" i="33" s="1"/>
  <c r="T55" i="33"/>
  <c r="U55" i="33" s="1"/>
  <c r="T93" i="33"/>
  <c r="U93" i="33" s="1"/>
  <c r="T68" i="33"/>
  <c r="U68" i="33" s="1"/>
  <c r="T97" i="33"/>
  <c r="U97" i="33" s="1"/>
  <c r="T54" i="33"/>
  <c r="U54" i="33" s="1"/>
  <c r="T87" i="33"/>
  <c r="U87" i="33" s="1"/>
  <c r="T103" i="33"/>
  <c r="U103" i="33" s="1"/>
  <c r="T73" i="33"/>
  <c r="U73" i="33" s="1"/>
  <c r="T69" i="33"/>
  <c r="U69" i="33" s="1"/>
  <c r="T62" i="33"/>
  <c r="U62" i="33" s="1"/>
  <c r="T72" i="33"/>
  <c r="U72" i="33" s="1"/>
  <c r="U8" i="33" l="1"/>
  <c r="E16" i="37"/>
  <c r="U28" i="33"/>
  <c r="U6" i="33"/>
  <c r="U5" i="33"/>
  <c r="U7" i="33"/>
  <c r="E10" i="37"/>
  <c r="U34" i="33"/>
  <c r="E17" i="23"/>
  <c r="E17" i="37"/>
  <c r="E12" i="23"/>
  <c r="E12" i="37"/>
  <c r="E8" i="23"/>
  <c r="E8" i="37"/>
  <c r="E14" i="23"/>
  <c r="E14" i="37"/>
  <c r="E6" i="23"/>
  <c r="E6" i="37"/>
  <c r="E9" i="37"/>
  <c r="E11" i="23"/>
  <c r="E11" i="37"/>
  <c r="E7" i="37"/>
  <c r="E13" i="23"/>
  <c r="E13" i="37"/>
  <c r="E15" i="23"/>
  <c r="E15" i="37"/>
  <c r="E5" i="37"/>
  <c r="E7" i="23"/>
  <c r="E10" i="23"/>
  <c r="E16" i="23"/>
  <c r="E5" i="23"/>
  <c r="E9" i="23"/>
  <c r="F15" i="37" l="1"/>
  <c r="F5" i="37"/>
  <c r="F8" i="37"/>
  <c r="F7" i="37"/>
  <c r="F13" i="37"/>
  <c r="F11" i="37"/>
  <c r="F24" i="37"/>
  <c r="F21" i="37"/>
  <c r="F22" i="37"/>
  <c r="F12" i="37"/>
  <c r="F10" i="37"/>
  <c r="F18" i="37"/>
  <c r="F20" i="37"/>
  <c r="F17" i="37"/>
  <c r="F23" i="37"/>
  <c r="F6" i="37"/>
  <c r="F14" i="37"/>
  <c r="F16" i="37"/>
  <c r="F19" i="37"/>
  <c r="F9" i="37"/>
  <c r="F9" i="23"/>
  <c r="F10" i="23"/>
  <c r="F14" i="23"/>
  <c r="F21" i="23"/>
  <c r="F5" i="23"/>
  <c r="F20" i="23"/>
  <c r="F15" i="23"/>
  <c r="F17" i="23"/>
  <c r="F8" i="23"/>
  <c r="F23" i="23"/>
  <c r="F11" i="23"/>
  <c r="F12" i="23"/>
  <c r="F16" i="23"/>
  <c r="F18" i="23"/>
  <c r="F6" i="23"/>
  <c r="F24" i="23"/>
  <c r="F13" i="23"/>
  <c r="F19" i="23"/>
  <c r="F7" i="23"/>
  <c r="F22" i="23"/>
</calcChain>
</file>

<file path=xl/sharedStrings.xml><?xml version="1.0" encoding="utf-8"?>
<sst xmlns="http://schemas.openxmlformats.org/spreadsheetml/2006/main" count="548" uniqueCount="175">
  <si>
    <t>1</t>
  </si>
  <si>
    <t>2</t>
  </si>
  <si>
    <t>Ф.И.О.</t>
  </si>
  <si>
    <t>Кол-во</t>
  </si>
  <si>
    <t>№ п/п</t>
  </si>
  <si>
    <t>Время (мин, сек)</t>
  </si>
  <si>
    <t>Очки</t>
  </si>
  <si>
    <t>4</t>
  </si>
  <si>
    <t>-</t>
  </si>
  <si>
    <t>Асылбеков Арсен Жанатович</t>
  </si>
  <si>
    <t>Апулинский Дмитрий Александрович</t>
  </si>
  <si>
    <t>Бебиков Дмитрий Александрович</t>
  </si>
  <si>
    <t>Беззубов Егор Валерьевич</t>
  </si>
  <si>
    <t>Боярко Никита Сергеевич</t>
  </si>
  <si>
    <t>Булочкин Владислав Александрович</t>
  </si>
  <si>
    <t>Вага Илья Александрович</t>
  </si>
  <si>
    <t>Гончаров Никита Петрович</t>
  </si>
  <si>
    <t>Дробышевский Виктор Олегович</t>
  </si>
  <si>
    <t>Дробышевский Ефим Олегович</t>
  </si>
  <si>
    <t>Киселевич Артем Анатольевич</t>
  </si>
  <si>
    <t>Короленя Ярослав Олегович</t>
  </si>
  <si>
    <t>Красев Никита Сергеевич</t>
  </si>
  <si>
    <t>Краснопольский Роман Викторович</t>
  </si>
  <si>
    <t>Куневич Евгений Витальевич</t>
  </si>
  <si>
    <t>Лобуренко Роман Алексеевич</t>
  </si>
  <si>
    <t>Синковец Александр Павлович</t>
  </si>
  <si>
    <t>Суран Александр Олегович</t>
  </si>
  <si>
    <t>Удовикин Егор Николаевич</t>
  </si>
  <si>
    <t>Усов Егор Алексеевич</t>
  </si>
  <si>
    <t>Хлуд Степан Сергеевич</t>
  </si>
  <si>
    <t>Черенко Артем Дмитриевич</t>
  </si>
  <si>
    <t>Шкода Артем Дмитриевич</t>
  </si>
  <si>
    <t xml:space="preserve">Якушев Никита Николаевич </t>
  </si>
  <si>
    <t>Бабаев Меджлум Мкхман оглы</t>
  </si>
  <si>
    <t>Бетеня Михаил Евгеньевич</t>
  </si>
  <si>
    <t>Врулин Виктор Михайлович</t>
  </si>
  <si>
    <t>Дасюкевич Никита Александрович</t>
  </si>
  <si>
    <t>Дубоносов Владислав Витальевич</t>
  </si>
  <si>
    <t>Иванов Анатолий Сергеевич</t>
  </si>
  <si>
    <t>Кильсинбаев Елисей Владимирович</t>
  </si>
  <si>
    <t>Климошенок Антон Павлович</t>
  </si>
  <si>
    <t>Коваленок Константин Юрьевич</t>
  </si>
  <si>
    <t>Ковш Михаил Дмитриевич</t>
  </si>
  <si>
    <t>Корытко Ярослав Александрович</t>
  </si>
  <si>
    <t>Левшуков Артем Ильич</t>
  </si>
  <si>
    <t>Минчуков Павел Михайлович</t>
  </si>
  <si>
    <t>Можайский Никита Дмитриевич</t>
  </si>
  <si>
    <t>Мороз Евгений Александрович</t>
  </si>
  <si>
    <t>Мукашев Нурболат Ерболулы</t>
  </si>
  <si>
    <t>Надточий Доминик Денисович</t>
  </si>
  <si>
    <t>Пушок Артур Семенович</t>
  </si>
  <si>
    <t>Сеникович Артем Михайлович</t>
  </si>
  <si>
    <t>Серко Владислав Павлович</t>
  </si>
  <si>
    <t>Чекчиков Артем Сергеевич</t>
  </si>
  <si>
    <t>Чернявский Ярослав Александрович</t>
  </si>
  <si>
    <t>Шестак Алексей Александрович</t>
  </si>
  <si>
    <t>Шляхотко Артем Александрович</t>
  </si>
  <si>
    <t>Шпак Глеб Константинович</t>
  </si>
  <si>
    <t>Абдуллазаде Вагиф Эльнур оглы</t>
  </si>
  <si>
    <t>Алехин Владислав Николаевич</t>
  </si>
  <si>
    <t>Бабков Егор Михайлович</t>
  </si>
  <si>
    <t>Бондарь Эдуард Витальевич</t>
  </si>
  <si>
    <t>Борисов Вячеслав Дмитриевич</t>
  </si>
  <si>
    <t>Глушаков Станислав Михайлович</t>
  </si>
  <si>
    <t>Голубицкий Вадим Сергеевич</t>
  </si>
  <si>
    <t>Жетлухин Евгений Александрович</t>
  </si>
  <si>
    <t>Жирнов Егор Васильевич</t>
  </si>
  <si>
    <t>Жук Алексей Ромуальдович</t>
  </si>
  <si>
    <t>Карпиевич Евгений Сергеевич</t>
  </si>
  <si>
    <t>Климов Иван Александрович</t>
  </si>
  <si>
    <t>Конецкий Алексей Александрович</t>
  </si>
  <si>
    <t>Кудравец Артём Валерьевич</t>
  </si>
  <si>
    <t>Кузнецов Артём Юрьевич</t>
  </si>
  <si>
    <t>Левшик Александр Сергеевич</t>
  </si>
  <si>
    <t>Нарубин Александр Максимович</t>
  </si>
  <si>
    <t>Пиянзин Тимур Яковлевич</t>
  </si>
  <si>
    <t>Пресняков Даниил Владимирович</t>
  </si>
  <si>
    <t>Русакович Георгий Павлович</t>
  </si>
  <si>
    <t>Рыковский Даниил Анатольевич</t>
  </si>
  <si>
    <t>Стефаненко Тимур Витальевич</t>
  </si>
  <si>
    <t>Телегин Артем Владимирович</t>
  </si>
  <si>
    <t>Хамидулла Барлас Данярулы</t>
  </si>
  <si>
    <t>Храпко Никита Сергеевич</t>
  </si>
  <si>
    <t>Вердиев Акшин Эшгин оглы</t>
  </si>
  <si>
    <t>Гришаев Максим Сергеевич</t>
  </si>
  <si>
    <t>Еремейчик Игнат Андреевич</t>
  </si>
  <si>
    <t>Зарембо Егор Дмитриевич</t>
  </si>
  <si>
    <t>Кислюк Кирилл Валерьевич</t>
  </si>
  <si>
    <t>Ковалев Илья Сергеевич</t>
  </si>
  <si>
    <t>Корнейчук Михаил Владимирович</t>
  </si>
  <si>
    <t>Кошан Алмат Даулетулы</t>
  </si>
  <si>
    <t>Крученок Андрей Александрович</t>
  </si>
  <si>
    <t>Купинский Иван Витальевич</t>
  </si>
  <si>
    <t>Луцевич Глеб Юрьевич</t>
  </si>
  <si>
    <t>Мантуш Никита Валерьевич</t>
  </si>
  <si>
    <t>Манько Владислав Максимович</t>
  </si>
  <si>
    <t>Радиванович Андрей Андреевич</t>
  </si>
  <si>
    <t xml:space="preserve">Скурко Назар Александрович </t>
  </si>
  <si>
    <t>Слесаренко Михаил Александрович</t>
  </si>
  <si>
    <t>Соболевский Максим Юрьевич</t>
  </si>
  <si>
    <t>Соловьев Ян Олегович</t>
  </si>
  <si>
    <t>Ставров Александр Вячеславович</t>
  </si>
  <si>
    <t>Тешко Макар Витальевич</t>
  </si>
  <si>
    <t>Финевич Владислав Александрович</t>
  </si>
  <si>
    <t>Хамицкий Никита Дмитриевич</t>
  </si>
  <si>
    <t>Циунчик Станислав Олегович</t>
  </si>
  <si>
    <t>Янцевич Захар Николаевич</t>
  </si>
  <si>
    <t xml:space="preserve">Алешкин Захар Юрьевич </t>
  </si>
  <si>
    <t xml:space="preserve">Бабенков Дмитрий Михайлович </t>
  </si>
  <si>
    <t>№ участника</t>
  </si>
  <si>
    <t>Команда</t>
  </si>
  <si>
    <t>Подтягивание на перекладине с грузом 10 кг</t>
  </si>
  <si>
    <t>Челночный бег 10 х 20 метров с выполнение комплекса «Берпи»</t>
  </si>
  <si>
    <t>Сгибание-разгибание рук в упоре на брусьях с грузом 
16 кг</t>
  </si>
  <si>
    <t>Жим штанги собственного веса от груди из положения лежа на спине</t>
  </si>
  <si>
    <t>5</t>
  </si>
  <si>
    <t>6</t>
  </si>
  <si>
    <t>7</t>
  </si>
  <si>
    <t>Приседание со штангой собственного веса на плечах в течение 3-х минут</t>
  </si>
  <si>
    <t>Бег на 8,5 км с преодолением водных преград</t>
  </si>
  <si>
    <t>Рывок гири 
24 кг</t>
  </si>
  <si>
    <t>Бресткое УМЧС</t>
  </si>
  <si>
    <t>Могилевское УМЧС</t>
  </si>
  <si>
    <t>РОСН "ЗУБР"</t>
  </si>
  <si>
    <t>РЦУ РЧС</t>
  </si>
  <si>
    <t>БГАА</t>
  </si>
  <si>
    <t>УГЗ МЧС</t>
  </si>
  <si>
    <t>ВТФ БНТУ</t>
  </si>
  <si>
    <t>ИПС РБ</t>
  </si>
  <si>
    <t>ВА РБ</t>
  </si>
  <si>
    <t>Академия МВД</t>
  </si>
  <si>
    <t>ВФ БГУ</t>
  </si>
  <si>
    <t>Команды участники</t>
  </si>
  <si>
    <t>УВД Могилевского облисполкома</t>
  </si>
  <si>
    <t>УГЗ МЧС (л)</t>
  </si>
  <si>
    <t>Сумма очков</t>
  </si>
  <si>
    <t>Сгибание-разгибание рук в упоре на брусьях с грузом 16 кг</t>
  </si>
  <si>
    <t>Рывок гири 24 кг</t>
  </si>
  <si>
    <t>ПРОТОКОЛ 
лично-командных испытаний по физической подготовке спортивного комплекса «Атлет»</t>
  </si>
  <si>
    <t>Количество участников</t>
  </si>
  <si>
    <t>ПРОТОКОЛ 
командных испытаний по физической подготовке спортивного комплекса «Атлет»</t>
  </si>
  <si>
    <t>Дата: 06.06.2026</t>
  </si>
  <si>
    <t>Место</t>
  </si>
  <si>
    <t xml:space="preserve">Команда </t>
  </si>
  <si>
    <t>Главный судья испытаний</t>
  </si>
  <si>
    <t>И.О.Фамилия</t>
  </si>
  <si>
    <t>Матрыненко Алексей Сергеевич</t>
  </si>
  <si>
    <t>Сафронов Александр Николаевич</t>
  </si>
  <si>
    <t>Дюко Антон Васильевич</t>
  </si>
  <si>
    <t>Ковалевский Станислав Андреевич</t>
  </si>
  <si>
    <t>Аржановский Павел Павлович</t>
  </si>
  <si>
    <t>Колядко Руслан Анатольевич</t>
  </si>
  <si>
    <t>Гончаров Владислав Андреевич</t>
  </si>
  <si>
    <t>Дубенко Никита Олесьевич</t>
  </si>
  <si>
    <t>Стаменков Максим Константинович</t>
  </si>
  <si>
    <t>Богомолов Александр Дмитриевич</t>
  </si>
  <si>
    <t>Болондь Никита Дмитриевич</t>
  </si>
  <si>
    <t>Попович Артур Сергеевич</t>
  </si>
  <si>
    <t>Макаров Никита Сергеевич</t>
  </si>
  <si>
    <t>Дятлов Алексей Сергеевич</t>
  </si>
  <si>
    <t>Пресняк Павел Олегович</t>
  </si>
  <si>
    <t>Пугач Дмитрий Александрович</t>
  </si>
  <si>
    <t>Тиханович Алексей Сергеевич</t>
  </si>
  <si>
    <t>Милошевич Марк Викторович</t>
  </si>
  <si>
    <t xml:space="preserve">Лахтюк Иван Сергеевич </t>
  </si>
  <si>
    <t>Карсюк Ярослав Сергеевич</t>
  </si>
  <si>
    <t>Ижекенов Евгений Руланович</t>
  </si>
  <si>
    <t>Новиков Алексей Юрьевич</t>
  </si>
  <si>
    <t>Коледа Иван Викторович</t>
  </si>
  <si>
    <t>Гончаронок Никита Владимирович</t>
  </si>
  <si>
    <t>Пасько Ян Игоревич</t>
  </si>
  <si>
    <t>Рудько Артем Михайлович</t>
  </si>
  <si>
    <t>Коледа Михаил Викторович</t>
  </si>
  <si>
    <t>ИПС РБ (л)</t>
  </si>
  <si>
    <t>Вес участника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</si>
</sst>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 x14ac:knownFonts="1">
    <font>
      <sz val="10"/>
      <name val="Arial Cyr"/>
      <charset val="204"/>
    </font>
    <font>
      <sz val="15"/>
      <name val="Times New Roman"/>
      <family val="1"/>
      <charset val="204"/>
    </font>
    <font>
      <b/>
      <sz val="15"/>
      <name val="Times New Roman"/>
      <family val="1"/>
      <charset val="204"/>
    </font>
    <font>
      <b/>
      <sz val="15"/>
      <color indexed="8"/>
      <name val="Times New Roman"/>
      <family val="1"/>
      <charset val="204"/>
    </font>
    <font>
      <sz val="15"/>
      <name val="Arial Cyr"/>
      <charset val="204"/>
    </font>
    <font>
      <b/>
      <sz val="15"/>
      <name val="Arial Cyr"/>
      <charset val="204"/>
    </font>
    <font>
      <sz val="16"/>
      <name val="Times New Roman"/>
      <family val="1"/>
      <charset val="204"/>
    </font>
    <font>
      <b/>
      <sz val="16"/>
      <name val="Times New Roman"/>
      <family val="1"/>
      <charset val="204"/>
    </font>
    <font>
      <sz val="13"/>
      <name val="Times New Roman"/>
      <family val="1"/>
      <charset val="204"/>
    </font>
    <font>
      <sz val="20"/>
      <name val="Arial Cyr"/>
      <charset val="204"/>
    </font>
    <font>
      <b/>
      <sz val="20"/>
      <name val="Times New Roman"/>
      <family val="1"/>
      <charset val="204"/>
    </font>
    <font>
      <sz val="20"/>
      <name val="Times New Roman"/>
      <family val="1"/>
      <charset val="204"/>
    </font>
    <font>
      <sz val="14"/>
      <name val="Times New Roman"/>
      <family val="1"/>
      <charset val="204"/>
    </font>
    <font>
      <sz val="10"/>
      <name val="Times New Roman"/>
      <family val="1"/>
      <charset val="204"/>
    </font>
    <font>
      <sz val="10"/>
      <color rgb="FFFF0000"/>
      <name val="Arial Cyr"/>
      <charset val="204"/>
    </font>
    <font>
      <sz val="14"/>
      <color theme="1"/>
      <name val="Times New Roman"/>
      <family val="1"/>
      <charset val="204"/>
    </font>
    <font>
      <sz val="12"/>
      <name val="Arial Cyr"/>
      <charset val="204"/>
    </font>
    <font>
      <b/>
      <sz val="14"/>
      <name val="Times New Roman"/>
      <family val="1"/>
      <charset val="204"/>
    </font>
    <font>
      <b/>
      <sz val="14"/>
      <color indexed="8"/>
      <name val="Times New Roman"/>
      <family val="1"/>
      <charset val="204"/>
    </font>
    <font>
      <sz val="13"/>
      <color rgb="FF000000"/>
      <name val="Times New Roman"/>
      <family val="1"/>
      <charset val="204"/>
    </font>
    <font>
      <sz val="16"/>
      <color rgb="FF000000"/>
      <name val="Times New Roman"/>
      <family val="1"/>
      <charset val="204"/>
    </font>
    <font>
      <sz val="16"/>
      <color theme="1"/>
      <name val="Times New Roman"/>
      <family val="1"/>
      <charset val="204"/>
    </font>
    <font>
      <sz val="16"/>
      <name val="Arial Cyr"/>
      <charset val="204"/>
    </font>
    <font>
      <sz val="16.5"/>
      <name val="Times New Roman"/>
      <family val="1"/>
      <charset val="204"/>
    </font>
    <font>
      <sz val="16.5"/>
      <color theme="1"/>
      <name val="Times New Roman"/>
      <family val="1"/>
      <charset val="204"/>
    </font>
    <font>
      <b/>
      <sz val="16.5"/>
      <name val="Times New Roman"/>
      <family val="1"/>
      <charset val="204"/>
    </font>
    <font>
      <sz val="16.5"/>
      <color rgb="FF000000"/>
      <name val="Times New Roman"/>
      <family val="1"/>
      <charset val="204"/>
    </font>
    <font>
      <b/>
      <sz val="16.5"/>
      <color indexed="8"/>
      <name val="Times New Roman"/>
      <family val="1"/>
      <charset val="204"/>
    </font>
    <font>
      <sz val="28"/>
      <color rgb="FF000000"/>
      <name val="Arial Cyr"/>
    </font>
  </fonts>
  <fills count="1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59999389629810485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98">
    <xf numFmtId="0" fontId="0" fillId="0" borderId="0" xfId="0"/>
    <xf numFmtId="0" fontId="5" fillId="0" borderId="0" xfId="0" applyFont="1" applyAlignment="1" applyProtection="1">
      <alignment horizontal="center" vertical="center"/>
      <protection locked="0"/>
    </xf>
    <xf numFmtId="49" fontId="4" fillId="0" borderId="0" xfId="0" applyNumberFormat="1" applyFont="1" applyAlignment="1" applyProtection="1">
      <alignment horizontal="center" vertical="center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 vertical="center"/>
    </xf>
    <xf numFmtId="0" fontId="13" fillId="0" borderId="0" xfId="0" applyFont="1"/>
    <xf numFmtId="0" fontId="13" fillId="0" borderId="0" xfId="0" applyFont="1" applyAlignment="1">
      <alignment horizontal="center" vertical="center"/>
    </xf>
    <xf numFmtId="0" fontId="14" fillId="0" borderId="0" xfId="0" applyFont="1"/>
    <xf numFmtId="0" fontId="6" fillId="0" borderId="2" xfId="0" applyFont="1" applyFill="1" applyBorder="1" applyAlignment="1" applyProtection="1">
      <alignment horizontal="center" vertical="center" wrapText="1"/>
      <protection locked="0"/>
    </xf>
    <xf numFmtId="2" fontId="4" fillId="0" borderId="0" xfId="0" applyNumberFormat="1" applyFont="1" applyAlignment="1" applyProtection="1">
      <alignment horizontal="center" vertical="center"/>
      <protection locked="0"/>
    </xf>
    <xf numFmtId="0" fontId="16" fillId="0" borderId="0" xfId="0" applyFont="1" applyFill="1" applyAlignment="1" applyProtection="1">
      <alignment horizontal="center" vertical="center"/>
      <protection locked="0"/>
    </xf>
    <xf numFmtId="1" fontId="4" fillId="0" borderId="0" xfId="0" applyNumberFormat="1" applyFont="1" applyAlignment="1" applyProtection="1">
      <alignment horizontal="center" vertical="center"/>
      <protection locked="0"/>
    </xf>
    <xf numFmtId="0" fontId="8" fillId="0" borderId="6" xfId="0" applyFont="1" applyBorder="1" applyAlignment="1">
      <alignment horizontal="center" vertical="center" wrapText="1"/>
    </xf>
    <xf numFmtId="0" fontId="8" fillId="0" borderId="7" xfId="0" applyFont="1" applyBorder="1" applyAlignment="1">
      <alignment horizontal="center" vertical="center" wrapText="1"/>
    </xf>
    <xf numFmtId="0" fontId="19" fillId="0" borderId="7" xfId="0" applyFont="1" applyBorder="1" applyAlignment="1">
      <alignment horizontal="center" vertical="center" wrapText="1"/>
    </xf>
    <xf numFmtId="2" fontId="8" fillId="0" borderId="2" xfId="0" applyNumberFormat="1" applyFont="1" applyBorder="1" applyAlignment="1">
      <alignment horizontal="center" vertical="center" wrapText="1"/>
    </xf>
    <xf numFmtId="2" fontId="8" fillId="0" borderId="11" xfId="0" applyNumberFormat="1" applyFont="1" applyBorder="1" applyAlignment="1">
      <alignment horizontal="center" vertical="center" wrapText="1"/>
    </xf>
    <xf numFmtId="2" fontId="8" fillId="0" borderId="3" xfId="0" applyNumberFormat="1" applyFont="1" applyBorder="1" applyAlignment="1">
      <alignment horizontal="center" vertical="center" wrapText="1"/>
    </xf>
    <xf numFmtId="1" fontId="1" fillId="0" borderId="10" xfId="0" applyNumberFormat="1" applyFont="1" applyFill="1" applyBorder="1" applyAlignment="1" applyProtection="1">
      <alignment horizontal="center" vertical="center" textRotation="90" wrapText="1"/>
      <protection locked="0"/>
    </xf>
    <xf numFmtId="2" fontId="1" fillId="7" borderId="11" xfId="0" applyNumberFormat="1" applyFont="1" applyFill="1" applyBorder="1" applyAlignment="1" applyProtection="1">
      <alignment horizontal="center" vertical="center" textRotation="90" wrapText="1"/>
      <protection locked="0"/>
    </xf>
    <xf numFmtId="1" fontId="1" fillId="0" borderId="11" xfId="0" applyNumberFormat="1" applyFont="1" applyFill="1" applyBorder="1" applyAlignment="1" applyProtection="1">
      <alignment horizontal="center" vertical="center" textRotation="90" wrapText="1"/>
      <protection locked="0"/>
    </xf>
    <xf numFmtId="1" fontId="8" fillId="0" borderId="13" xfId="0" applyNumberFormat="1" applyFont="1" applyBorder="1" applyAlignment="1">
      <alignment horizontal="center" vertical="center" wrapText="1"/>
    </xf>
    <xf numFmtId="1" fontId="8" fillId="0" borderId="9" xfId="0" applyNumberFormat="1" applyFont="1" applyBorder="1" applyAlignment="1">
      <alignment horizontal="center" vertical="center" wrapText="1"/>
    </xf>
    <xf numFmtId="1" fontId="8" fillId="0" borderId="1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1" fontId="8" fillId="0" borderId="8" xfId="0" applyNumberFormat="1" applyFont="1" applyBorder="1" applyAlignment="1">
      <alignment horizontal="center" vertical="center" wrapText="1"/>
    </xf>
    <xf numFmtId="1" fontId="8" fillId="0" borderId="10" xfId="0" applyNumberFormat="1" applyFont="1" applyBorder="1" applyAlignment="1">
      <alignment horizontal="center" vertical="center" wrapText="1"/>
    </xf>
    <xf numFmtId="1" fontId="19" fillId="0" borderId="3" xfId="0" applyNumberFormat="1" applyFont="1" applyBorder="1" applyAlignment="1">
      <alignment horizontal="center" vertical="center" wrapText="1"/>
    </xf>
    <xf numFmtId="1" fontId="8" fillId="0" borderId="3" xfId="0" applyNumberFormat="1" applyFont="1" applyBorder="1" applyAlignment="1">
      <alignment horizontal="center" vertical="center" wrapText="1"/>
    </xf>
    <xf numFmtId="1" fontId="19" fillId="0" borderId="2" xfId="0" applyNumberFormat="1" applyFont="1" applyBorder="1" applyAlignment="1">
      <alignment horizontal="center" vertical="center" wrapText="1"/>
    </xf>
    <xf numFmtId="1" fontId="8" fillId="0" borderId="2" xfId="0" applyNumberFormat="1" applyFont="1" applyBorder="1" applyAlignment="1">
      <alignment horizontal="center" vertical="center" wrapText="1"/>
    </xf>
    <xf numFmtId="1" fontId="19" fillId="0" borderId="11" xfId="0" applyNumberFormat="1" applyFont="1" applyBorder="1" applyAlignment="1">
      <alignment horizontal="center" vertical="center" wrapText="1"/>
    </xf>
    <xf numFmtId="1" fontId="8" fillId="0" borderId="11" xfId="0" applyNumberFormat="1" applyFont="1" applyBorder="1" applyAlignment="1">
      <alignment horizontal="center" vertical="center" wrapText="1"/>
    </xf>
    <xf numFmtId="0" fontId="0" fillId="0" borderId="0" xfId="0" applyNumberFormat="1"/>
    <xf numFmtId="0" fontId="13" fillId="0" borderId="0" xfId="0" applyNumberFormat="1" applyFont="1"/>
    <xf numFmtId="0" fontId="0" fillId="0" borderId="0" xfId="0" applyAlignment="1"/>
    <xf numFmtId="0" fontId="12" fillId="0" borderId="0" xfId="0" applyNumberFormat="1" applyFont="1" applyAlignment="1">
      <alignment horizontal="center" wrapText="1"/>
    </xf>
    <xf numFmtId="0" fontId="12" fillId="0" borderId="0" xfId="0" applyFont="1" applyAlignment="1">
      <alignment horizontal="right" vertical="center"/>
    </xf>
    <xf numFmtId="0" fontId="12" fillId="0" borderId="18" xfId="0" applyNumberFormat="1" applyFont="1" applyFill="1" applyBorder="1" applyAlignment="1">
      <alignment horizontal="center" vertical="center" wrapText="1"/>
    </xf>
    <xf numFmtId="0" fontId="12" fillId="0" borderId="19" xfId="0" applyNumberFormat="1" applyFont="1" applyFill="1" applyBorder="1" applyAlignment="1">
      <alignment horizontal="center" vertical="center" wrapText="1"/>
    </xf>
    <xf numFmtId="0" fontId="12" fillId="0" borderId="19" xfId="0" applyFont="1" applyFill="1" applyBorder="1" applyAlignment="1" applyProtection="1">
      <alignment horizontal="center" vertical="center" wrapText="1"/>
    </xf>
    <xf numFmtId="0" fontId="12" fillId="0" borderId="20" xfId="0" applyFont="1" applyFill="1" applyBorder="1" applyAlignment="1" applyProtection="1">
      <alignment horizontal="center" vertical="center" wrapText="1"/>
    </xf>
    <xf numFmtId="0" fontId="12" fillId="0" borderId="6" xfId="0" applyNumberFormat="1" applyFont="1" applyFill="1" applyBorder="1" applyAlignment="1" applyProtection="1">
      <alignment horizontal="center" vertical="center" wrapText="1"/>
    </xf>
    <xf numFmtId="0" fontId="12" fillId="0" borderId="7" xfId="0" applyNumberFormat="1" applyFont="1" applyFill="1" applyBorder="1" applyAlignment="1" applyProtection="1">
      <alignment horizontal="center" vertical="center" wrapText="1"/>
    </xf>
    <xf numFmtId="0" fontId="12" fillId="0" borderId="7" xfId="0" applyFont="1" applyFill="1" applyBorder="1" applyAlignment="1" applyProtection="1">
      <alignment horizontal="center" vertical="center" wrapText="1"/>
    </xf>
    <xf numFmtId="0" fontId="12" fillId="0" borderId="7" xfId="0" applyFont="1" applyFill="1" applyBorder="1" applyAlignment="1">
      <alignment horizontal="center" vertical="center"/>
    </xf>
    <xf numFmtId="0" fontId="12" fillId="0" borderId="17" xfId="0" applyFont="1" applyFill="1" applyBorder="1" applyAlignment="1">
      <alignment horizontal="center" vertical="center"/>
    </xf>
    <xf numFmtId="0" fontId="12" fillId="0" borderId="8" xfId="0" applyNumberFormat="1" applyFont="1" applyFill="1" applyBorder="1" applyAlignment="1" applyProtection="1">
      <alignment horizontal="center" vertical="center" wrapText="1"/>
    </xf>
    <xf numFmtId="0" fontId="12" fillId="0" borderId="2" xfId="0" applyNumberFormat="1" applyFont="1" applyFill="1" applyBorder="1" applyAlignment="1" applyProtection="1">
      <alignment horizontal="center" vertical="center" wrapText="1"/>
    </xf>
    <xf numFmtId="0" fontId="12" fillId="0" borderId="2" xfId="0" applyFont="1" applyFill="1" applyBorder="1" applyAlignment="1" applyProtection="1">
      <alignment horizontal="center" vertical="center" wrapText="1"/>
    </xf>
    <xf numFmtId="0" fontId="12" fillId="0" borderId="2" xfId="0" applyFont="1" applyFill="1" applyBorder="1" applyAlignment="1">
      <alignment horizontal="center" vertical="center"/>
    </xf>
    <xf numFmtId="0" fontId="12" fillId="0" borderId="9" xfId="0" applyFont="1" applyFill="1" applyBorder="1" applyAlignment="1">
      <alignment horizontal="center" vertical="center"/>
    </xf>
    <xf numFmtId="0" fontId="12" fillId="0" borderId="10" xfId="0" applyNumberFormat="1" applyFont="1" applyFill="1" applyBorder="1" applyAlignment="1" applyProtection="1">
      <alignment horizontal="center" vertical="center" wrapText="1"/>
    </xf>
    <xf numFmtId="0" fontId="12" fillId="0" borderId="11" xfId="0" applyNumberFormat="1" applyFont="1" applyFill="1" applyBorder="1" applyAlignment="1" applyProtection="1">
      <alignment horizontal="center" vertical="center" wrapText="1"/>
    </xf>
    <xf numFmtId="0" fontId="12" fillId="0" borderId="11" xfId="0" applyFont="1" applyFill="1" applyBorder="1" applyAlignment="1" applyProtection="1">
      <alignment horizontal="center" vertical="center" wrapText="1"/>
    </xf>
    <xf numFmtId="0" fontId="12" fillId="0" borderId="11" xfId="0" applyFont="1" applyFill="1" applyBorder="1" applyAlignment="1">
      <alignment horizontal="center" vertical="center"/>
    </xf>
    <xf numFmtId="0" fontId="12" fillId="0" borderId="12" xfId="0" applyFont="1" applyFill="1" applyBorder="1" applyAlignment="1">
      <alignment horizontal="center" vertical="center"/>
    </xf>
    <xf numFmtId="0" fontId="6" fillId="0" borderId="0" xfId="0" applyFont="1"/>
    <xf numFmtId="0" fontId="6" fillId="0" borderId="0" xfId="0" applyNumberFormat="1" applyFont="1"/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right"/>
    </xf>
    <xf numFmtId="0" fontId="15" fillId="0" borderId="2" xfId="0" applyFont="1" applyBorder="1" applyAlignment="1">
      <alignment horizontal="center" vertical="center" wrapText="1"/>
    </xf>
    <xf numFmtId="0" fontId="6" fillId="0" borderId="0" xfId="0" applyFont="1" applyProtection="1"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/>
      <protection locked="0"/>
    </xf>
    <xf numFmtId="0" fontId="12" fillId="0" borderId="2" xfId="0" applyFont="1" applyBorder="1" applyAlignment="1">
      <alignment horizontal="center" vertical="center"/>
    </xf>
    <xf numFmtId="0" fontId="6" fillId="0" borderId="0" xfId="0" applyFont="1" applyAlignment="1" applyProtection="1">
      <alignment horizontal="center" vertical="top" wrapText="1"/>
      <protection locked="0"/>
    </xf>
    <xf numFmtId="0" fontId="16" fillId="0" borderId="0" xfId="0" applyFont="1" applyAlignment="1" applyProtection="1">
      <alignment horizontal="center" vertical="top" wrapText="1"/>
      <protection locked="0"/>
    </xf>
    <xf numFmtId="0" fontId="6" fillId="0" borderId="0" xfId="0" applyNumberFormat="1" applyFont="1" applyAlignment="1" applyProtection="1">
      <alignment vertical="center"/>
      <protection locked="0"/>
    </xf>
    <xf numFmtId="0" fontId="6" fillId="0" borderId="1" xfId="0" applyFont="1" applyBorder="1" applyAlignment="1" applyProtection="1">
      <alignment horizontal="center" vertical="center"/>
      <protection locked="0"/>
    </xf>
    <xf numFmtId="0" fontId="6" fillId="0" borderId="3" xfId="0" applyFont="1" applyFill="1" applyBorder="1" applyAlignment="1" applyProtection="1">
      <alignment horizontal="center" vertical="center"/>
      <protection locked="0"/>
    </xf>
    <xf numFmtId="0" fontId="20" fillId="11" borderId="3" xfId="0" applyFont="1" applyFill="1" applyBorder="1" applyAlignment="1" applyProtection="1">
      <alignment vertical="center" wrapText="1"/>
      <protection locked="0"/>
    </xf>
    <xf numFmtId="0" fontId="6" fillId="0" borderId="22" xfId="0" applyFont="1" applyBorder="1" applyAlignment="1" applyProtection="1">
      <alignment horizontal="center" vertical="top" wrapText="1"/>
      <protection locked="0"/>
    </xf>
    <xf numFmtId="1" fontId="6" fillId="0" borderId="1" xfId="0" applyNumberFormat="1" applyFont="1" applyBorder="1" applyAlignment="1" applyProtection="1">
      <alignment horizontal="center" vertical="center"/>
      <protection locked="0"/>
    </xf>
    <xf numFmtId="0" fontId="6" fillId="3" borderId="13" xfId="0" applyNumberFormat="1" applyFont="1" applyFill="1" applyBorder="1" applyAlignment="1" applyProtection="1">
      <alignment horizontal="center" vertical="center"/>
      <protection hidden="1"/>
    </xf>
    <xf numFmtId="2" fontId="6" fillId="0" borderId="25" xfId="0" applyNumberFormat="1" applyFont="1" applyBorder="1" applyAlignment="1" applyProtection="1">
      <alignment horizontal="center" vertical="center" wrapText="1"/>
      <protection locked="0"/>
    </xf>
    <xf numFmtId="1" fontId="6" fillId="3" borderId="22" xfId="0" applyNumberFormat="1" applyFont="1" applyFill="1" applyBorder="1" applyAlignment="1" applyProtection="1">
      <alignment horizontal="center" vertical="center"/>
      <protection hidden="1"/>
    </xf>
    <xf numFmtId="1" fontId="6" fillId="0" borderId="1" xfId="0" applyNumberFormat="1" applyFont="1" applyFill="1" applyBorder="1" applyAlignment="1" applyProtection="1">
      <alignment horizontal="center" vertical="center"/>
      <protection locked="0"/>
    </xf>
    <xf numFmtId="1" fontId="6" fillId="3" borderId="13" xfId="0" applyNumberFormat="1" applyFont="1" applyFill="1" applyBorder="1" applyAlignment="1" applyProtection="1">
      <alignment horizontal="center" vertical="center"/>
      <protection hidden="1"/>
    </xf>
    <xf numFmtId="1" fontId="6" fillId="0" borderId="25" xfId="0" applyNumberFormat="1" applyFont="1" applyBorder="1" applyAlignment="1" applyProtection="1">
      <alignment horizontal="center" vertical="center"/>
      <protection locked="0"/>
    </xf>
    <xf numFmtId="2" fontId="6" fillId="0" borderId="1" xfId="0" applyNumberFormat="1" applyFont="1" applyBorder="1" applyAlignment="1" applyProtection="1">
      <alignment horizontal="center" vertical="center" wrapText="1"/>
      <protection locked="0"/>
    </xf>
    <xf numFmtId="1" fontId="7" fillId="2" borderId="25" xfId="0" applyNumberFormat="1" applyFont="1" applyFill="1" applyBorder="1" applyAlignment="1" applyProtection="1">
      <alignment horizontal="center" vertical="center" wrapText="1"/>
      <protection hidden="1"/>
    </xf>
    <xf numFmtId="1" fontId="7" fillId="9" borderId="13" xfId="0" applyNumberFormat="1" applyFont="1" applyFill="1" applyBorder="1" applyAlignment="1" applyProtection="1">
      <alignment horizontal="center" vertical="center" wrapText="1"/>
      <protection hidden="1"/>
    </xf>
    <xf numFmtId="0" fontId="6" fillId="0" borderId="8" xfId="0" applyFont="1" applyBorder="1" applyAlignment="1" applyProtection="1">
      <alignment horizontal="center" vertical="center"/>
      <protection locked="0"/>
    </xf>
    <xf numFmtId="0" fontId="20" fillId="0" borderId="2" xfId="0" applyFont="1" applyBorder="1" applyAlignment="1" applyProtection="1">
      <alignment horizontal="left" vertical="center" wrapText="1"/>
      <protection locked="0"/>
    </xf>
    <xf numFmtId="0" fontId="6" fillId="0" borderId="4" xfId="0" applyFont="1" applyBorder="1" applyAlignment="1" applyProtection="1">
      <alignment horizontal="center" vertical="top" wrapText="1"/>
      <protection locked="0"/>
    </xf>
    <xf numFmtId="1" fontId="6" fillId="0" borderId="8" xfId="0" applyNumberFormat="1" applyFont="1" applyBorder="1" applyAlignment="1" applyProtection="1">
      <alignment horizontal="center" vertical="center"/>
      <protection locked="0"/>
    </xf>
    <xf numFmtId="0" fontId="6" fillId="3" borderId="9" xfId="0" applyNumberFormat="1" applyFont="1" applyFill="1" applyBorder="1" applyAlignment="1" applyProtection="1">
      <alignment horizontal="center" vertical="center"/>
      <protection hidden="1"/>
    </xf>
    <xf numFmtId="2" fontId="6" fillId="0" borderId="5" xfId="0" applyNumberFormat="1" applyFont="1" applyBorder="1" applyAlignment="1" applyProtection="1">
      <alignment horizontal="center" vertical="center" wrapText="1"/>
      <protection locked="0"/>
    </xf>
    <xf numFmtId="1" fontId="6" fillId="3" borderId="4" xfId="0" applyNumberFormat="1" applyFont="1" applyFill="1" applyBorder="1" applyAlignment="1" applyProtection="1">
      <alignment horizontal="center" vertical="center"/>
      <protection hidden="1"/>
    </xf>
    <xf numFmtId="1" fontId="6" fillId="0" borderId="8" xfId="0" applyNumberFormat="1" applyFont="1" applyFill="1" applyBorder="1" applyAlignment="1" applyProtection="1">
      <alignment horizontal="center" vertical="center"/>
      <protection locked="0"/>
    </xf>
    <xf numFmtId="1" fontId="6" fillId="3" borderId="9" xfId="0" applyNumberFormat="1" applyFont="1" applyFill="1" applyBorder="1" applyAlignment="1" applyProtection="1">
      <alignment horizontal="center" vertical="center"/>
      <protection hidden="1"/>
    </xf>
    <xf numFmtId="1" fontId="6" fillId="0" borderId="5" xfId="0" applyNumberFormat="1" applyFont="1" applyBorder="1" applyAlignment="1" applyProtection="1">
      <alignment horizontal="center" vertical="center"/>
      <protection locked="0"/>
    </xf>
    <xf numFmtId="0" fontId="6" fillId="0" borderId="8" xfId="0" applyNumberFormat="1" applyFont="1" applyFill="1" applyBorder="1" applyAlignment="1" applyProtection="1">
      <alignment horizontal="center" vertical="center"/>
      <protection locked="0"/>
    </xf>
    <xf numFmtId="2" fontId="6" fillId="0" borderId="8" xfId="0" applyNumberFormat="1" applyFont="1" applyBorder="1" applyAlignment="1" applyProtection="1">
      <alignment horizontal="center" vertical="center" wrapText="1"/>
      <protection locked="0"/>
    </xf>
    <xf numFmtId="1" fontId="7" fillId="2" borderId="5" xfId="0" applyNumberFormat="1" applyFont="1" applyFill="1" applyBorder="1" applyAlignment="1" applyProtection="1">
      <alignment horizontal="center" vertical="center" wrapText="1"/>
      <protection hidden="1"/>
    </xf>
    <xf numFmtId="1" fontId="7" fillId="9" borderId="9" xfId="0" applyNumberFormat="1" applyFont="1" applyFill="1" applyBorder="1" applyAlignment="1" applyProtection="1">
      <alignment horizontal="center" vertical="center" wrapText="1"/>
      <protection hidden="1"/>
    </xf>
    <xf numFmtId="0" fontId="6" fillId="0" borderId="2" xfId="0" applyFont="1" applyFill="1" applyBorder="1" applyAlignment="1" applyProtection="1">
      <alignment horizontal="center" vertical="center"/>
      <protection locked="0"/>
    </xf>
    <xf numFmtId="0" fontId="20" fillId="11" borderId="2" xfId="0" applyFont="1" applyFill="1" applyBorder="1" applyAlignment="1" applyProtection="1">
      <alignment vertical="center" wrapText="1"/>
      <protection locked="0"/>
    </xf>
    <xf numFmtId="0" fontId="21" fillId="0" borderId="2" xfId="0" applyFont="1" applyBorder="1" applyAlignment="1" applyProtection="1">
      <alignment horizontal="left"/>
      <protection locked="0"/>
    </xf>
    <xf numFmtId="14" fontId="6" fillId="6" borderId="4" xfId="0" applyNumberFormat="1" applyFont="1" applyFill="1" applyBorder="1" applyAlignment="1" applyProtection="1">
      <alignment horizontal="center" vertical="top" wrapText="1"/>
      <protection locked="0"/>
    </xf>
    <xf numFmtId="0" fontId="21" fillId="0" borderId="4" xfId="0" applyFont="1" applyBorder="1" applyAlignment="1" applyProtection="1">
      <alignment horizontal="center" vertical="top" wrapText="1"/>
      <protection locked="0"/>
    </xf>
    <xf numFmtId="0" fontId="6" fillId="0" borderId="5" xfId="0" applyNumberFormat="1" applyFont="1" applyFill="1" applyBorder="1" applyAlignment="1" applyProtection="1">
      <alignment horizontal="center" vertical="center"/>
      <protection locked="0"/>
    </xf>
    <xf numFmtId="0" fontId="21" fillId="0" borderId="2" xfId="0" applyFont="1" applyBorder="1" applyAlignment="1" applyProtection="1">
      <alignment horizontal="left" vertical="center"/>
      <protection locked="0"/>
    </xf>
    <xf numFmtId="0" fontId="22" fillId="0" borderId="4" xfId="0" applyFont="1" applyBorder="1" applyAlignment="1" applyProtection="1">
      <alignment horizontal="center" vertical="top" wrapText="1"/>
      <protection locked="0"/>
    </xf>
    <xf numFmtId="0" fontId="6" fillId="0" borderId="2" xfId="0" applyFont="1" applyBorder="1" applyAlignment="1" applyProtection="1">
      <alignment horizontal="left"/>
      <protection locked="0"/>
    </xf>
    <xf numFmtId="0" fontId="6" fillId="0" borderId="2" xfId="0" applyFont="1" applyBorder="1" applyAlignment="1" applyProtection="1">
      <alignment horizontal="left" vertical="center" wrapText="1"/>
      <protection locked="0"/>
    </xf>
    <xf numFmtId="0" fontId="6" fillId="0" borderId="10" xfId="0" applyFont="1" applyBorder="1" applyAlignment="1" applyProtection="1">
      <alignment horizontal="center" vertical="center"/>
      <protection locked="0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20" fillId="11" borderId="11" xfId="0" applyFont="1" applyFill="1" applyBorder="1" applyAlignment="1" applyProtection="1">
      <alignment vertical="center" wrapText="1"/>
      <protection locked="0"/>
    </xf>
    <xf numFmtId="14" fontId="6" fillId="6" borderId="21" xfId="0" applyNumberFormat="1" applyFont="1" applyFill="1" applyBorder="1" applyAlignment="1" applyProtection="1">
      <alignment horizontal="center" vertical="top" wrapText="1"/>
      <protection locked="0"/>
    </xf>
    <xf numFmtId="1" fontId="6" fillId="0" borderId="10" xfId="0" applyNumberFormat="1" applyFont="1" applyBorder="1" applyAlignment="1" applyProtection="1">
      <alignment horizontal="center" vertical="center"/>
      <protection locked="0"/>
    </xf>
    <xf numFmtId="0" fontId="6" fillId="3" borderId="12" xfId="0" applyNumberFormat="1" applyFont="1" applyFill="1" applyBorder="1" applyAlignment="1" applyProtection="1">
      <alignment horizontal="center" vertical="center"/>
      <protection hidden="1"/>
    </xf>
    <xf numFmtId="2" fontId="6" fillId="0" borderId="24" xfId="0" applyNumberFormat="1" applyFont="1" applyBorder="1" applyAlignment="1" applyProtection="1">
      <alignment horizontal="center" vertical="center" wrapText="1"/>
      <protection locked="0"/>
    </xf>
    <xf numFmtId="1" fontId="6" fillId="3" borderId="21" xfId="0" applyNumberFormat="1" applyFont="1" applyFill="1" applyBorder="1" applyAlignment="1" applyProtection="1">
      <alignment horizontal="center" vertical="center"/>
      <protection hidden="1"/>
    </xf>
    <xf numFmtId="1" fontId="6" fillId="0" borderId="10" xfId="0" applyNumberFormat="1" applyFont="1" applyFill="1" applyBorder="1" applyAlignment="1" applyProtection="1">
      <alignment horizontal="center" vertical="center"/>
      <protection locked="0"/>
    </xf>
    <xf numFmtId="1" fontId="6" fillId="3" borderId="12" xfId="0" applyNumberFormat="1" applyFont="1" applyFill="1" applyBorder="1" applyAlignment="1" applyProtection="1">
      <alignment horizontal="center" vertical="center"/>
      <protection hidden="1"/>
    </xf>
    <xf numFmtId="0" fontId="6" fillId="0" borderId="24" xfId="0" applyNumberFormat="1" applyFont="1" applyFill="1" applyBorder="1" applyAlignment="1" applyProtection="1">
      <alignment horizontal="center" vertical="center"/>
      <protection locked="0"/>
    </xf>
    <xf numFmtId="0" fontId="6" fillId="0" borderId="10" xfId="0" applyNumberFormat="1" applyFont="1" applyFill="1" applyBorder="1" applyAlignment="1" applyProtection="1">
      <alignment horizontal="center" vertical="center"/>
      <protection locked="0"/>
    </xf>
    <xf numFmtId="1" fontId="6" fillId="0" borderId="24" xfId="0" applyNumberFormat="1" applyFont="1" applyBorder="1" applyAlignment="1" applyProtection="1">
      <alignment horizontal="center" vertical="center"/>
      <protection locked="0"/>
    </xf>
    <xf numFmtId="2" fontId="6" fillId="0" borderId="10" xfId="0" applyNumberFormat="1" applyFont="1" applyBorder="1" applyAlignment="1" applyProtection="1">
      <alignment horizontal="center" vertical="center" wrapText="1"/>
      <protection locked="0"/>
    </xf>
    <xf numFmtId="1" fontId="7" fillId="2" borderId="24" xfId="0" applyNumberFormat="1" applyFont="1" applyFill="1" applyBorder="1" applyAlignment="1" applyProtection="1">
      <alignment horizontal="center" vertical="center" wrapText="1"/>
      <protection hidden="1"/>
    </xf>
    <xf numFmtId="1" fontId="7" fillId="9" borderId="12" xfId="0" applyNumberFormat="1" applyFont="1" applyFill="1" applyBorder="1" applyAlignment="1" applyProtection="1">
      <alignment horizontal="center" vertical="center" wrapText="1"/>
      <protection hidden="1"/>
    </xf>
    <xf numFmtId="1" fontId="1" fillId="0" borderId="10" xfId="0" applyNumberFormat="1" applyFont="1" applyFill="1" applyBorder="1" applyAlignment="1" applyProtection="1">
      <alignment horizontal="center" vertical="center" wrapText="1"/>
      <protection locked="0"/>
    </xf>
    <xf numFmtId="49" fontId="1" fillId="0" borderId="12" xfId="0" applyNumberFormat="1" applyFont="1" applyFill="1" applyBorder="1" applyAlignment="1" applyProtection="1">
      <alignment horizontal="center" vertical="center" wrapText="1"/>
      <protection locked="0"/>
    </xf>
    <xf numFmtId="2" fontId="1" fillId="0" borderId="24" xfId="0" applyNumberFormat="1" applyFont="1" applyFill="1" applyBorder="1" applyAlignment="1" applyProtection="1">
      <alignment horizontal="center" vertical="center" wrapText="1"/>
      <protection locked="0"/>
    </xf>
    <xf numFmtId="49" fontId="1" fillId="0" borderId="21" xfId="0" applyNumberFormat="1" applyFont="1" applyFill="1" applyBorder="1" applyAlignment="1" applyProtection="1">
      <alignment horizontal="center" vertical="center" wrapText="1"/>
      <protection locked="0"/>
    </xf>
    <xf numFmtId="49" fontId="1" fillId="0" borderId="10" xfId="0" applyNumberFormat="1" applyFont="1" applyFill="1" applyBorder="1" applyAlignment="1" applyProtection="1">
      <alignment horizontal="center" vertical="center" wrapText="1"/>
      <protection locked="0"/>
    </xf>
    <xf numFmtId="49" fontId="1" fillId="0" borderId="24" xfId="0" applyNumberFormat="1" applyFont="1" applyFill="1" applyBorder="1" applyAlignment="1" applyProtection="1">
      <alignment horizontal="center" vertical="center" wrapText="1"/>
      <protection locked="0"/>
    </xf>
    <xf numFmtId="2" fontId="1" fillId="0" borderId="10" xfId="0" applyNumberFormat="1" applyFont="1" applyFill="1" applyBorder="1" applyAlignment="1" applyProtection="1">
      <alignment horizontal="center" vertical="center" wrapText="1"/>
      <protection locked="0"/>
    </xf>
    <xf numFmtId="0" fontId="12" fillId="0" borderId="26" xfId="0" applyFont="1" applyFill="1" applyBorder="1" applyAlignment="1">
      <alignment horizontal="center" vertical="center"/>
    </xf>
    <xf numFmtId="0" fontId="23" fillId="0" borderId="1" xfId="0" applyFont="1" applyBorder="1" applyAlignment="1" applyProtection="1">
      <alignment horizontal="center" vertical="center"/>
      <protection locked="0"/>
    </xf>
    <xf numFmtId="0" fontId="23" fillId="0" borderId="2" xfId="0" applyFont="1" applyBorder="1" applyAlignment="1" applyProtection="1">
      <alignment horizontal="center" vertical="center"/>
      <protection locked="0"/>
    </xf>
    <xf numFmtId="1" fontId="23" fillId="0" borderId="1" xfId="0" applyNumberFormat="1" applyFont="1" applyBorder="1" applyAlignment="1" applyProtection="1">
      <alignment horizontal="center" vertical="center"/>
      <protection locked="0"/>
    </xf>
    <xf numFmtId="0" fontId="23" fillId="3" borderId="13" xfId="0" applyNumberFormat="1" applyFont="1" applyFill="1" applyBorder="1" applyAlignment="1" applyProtection="1">
      <alignment horizontal="center" vertical="center"/>
      <protection hidden="1"/>
    </xf>
    <xf numFmtId="2" fontId="23" fillId="0" borderId="25" xfId="0" applyNumberFormat="1" applyFont="1" applyBorder="1" applyAlignment="1" applyProtection="1">
      <alignment horizontal="center" vertical="center" wrapText="1"/>
      <protection locked="0"/>
    </xf>
    <xf numFmtId="1" fontId="23" fillId="3" borderId="22" xfId="0" applyNumberFormat="1" applyFont="1" applyFill="1" applyBorder="1" applyAlignment="1" applyProtection="1">
      <alignment horizontal="center" vertical="center"/>
      <protection hidden="1"/>
    </xf>
    <xf numFmtId="1" fontId="23" fillId="0" borderId="1" xfId="0" applyNumberFormat="1" applyFont="1" applyFill="1" applyBorder="1" applyAlignment="1" applyProtection="1">
      <alignment horizontal="center" vertical="center"/>
      <protection locked="0"/>
    </xf>
    <xf numFmtId="1" fontId="23" fillId="3" borderId="13" xfId="0" applyNumberFormat="1" applyFont="1" applyFill="1" applyBorder="1" applyAlignment="1" applyProtection="1">
      <alignment horizontal="center" vertical="center"/>
      <protection hidden="1"/>
    </xf>
    <xf numFmtId="1" fontId="23" fillId="0" borderId="25" xfId="0" applyNumberFormat="1" applyFont="1" applyBorder="1" applyAlignment="1" applyProtection="1">
      <alignment horizontal="center" vertical="center"/>
      <protection locked="0"/>
    </xf>
    <xf numFmtId="0" fontId="23" fillId="0" borderId="1" xfId="0" applyNumberFormat="1" applyFont="1" applyFill="1" applyBorder="1" applyAlignment="1" applyProtection="1">
      <alignment horizontal="center" vertical="center"/>
      <protection locked="0"/>
    </xf>
    <xf numFmtId="2" fontId="23" fillId="0" borderId="1" xfId="0" applyNumberFormat="1" applyFont="1" applyBorder="1" applyAlignment="1" applyProtection="1">
      <alignment horizontal="center" vertical="center" wrapText="1"/>
      <protection locked="0"/>
    </xf>
    <xf numFmtId="1" fontId="25" fillId="2" borderId="25" xfId="0" applyNumberFormat="1" applyFont="1" applyFill="1" applyBorder="1" applyAlignment="1" applyProtection="1">
      <alignment horizontal="center" vertical="center" wrapText="1"/>
      <protection hidden="1"/>
    </xf>
    <xf numFmtId="1" fontId="25" fillId="9" borderId="13" xfId="0" applyNumberFormat="1" applyFont="1" applyFill="1" applyBorder="1" applyAlignment="1" applyProtection="1">
      <alignment horizontal="center" vertical="center" wrapText="1"/>
      <protection hidden="1"/>
    </xf>
    <xf numFmtId="0" fontId="23" fillId="0" borderId="8" xfId="0" applyFont="1" applyBorder="1" applyAlignment="1" applyProtection="1">
      <alignment horizontal="center" vertical="center"/>
      <protection locked="0"/>
    </xf>
    <xf numFmtId="0" fontId="23" fillId="0" borderId="2" xfId="0" applyFont="1" applyFill="1" applyBorder="1" applyAlignment="1" applyProtection="1">
      <alignment horizontal="center" vertical="center"/>
      <protection locked="0"/>
    </xf>
    <xf numFmtId="0" fontId="26" fillId="11" borderId="2" xfId="0" applyFont="1" applyFill="1" applyBorder="1" applyAlignment="1" applyProtection="1">
      <alignment horizontal="left" vertical="center" wrapText="1"/>
      <protection locked="0"/>
    </xf>
    <xf numFmtId="1" fontId="23" fillId="0" borderId="8" xfId="0" applyNumberFormat="1" applyFont="1" applyBorder="1" applyAlignment="1" applyProtection="1">
      <alignment horizontal="center" vertical="center"/>
      <protection locked="0"/>
    </xf>
    <xf numFmtId="0" fontId="23" fillId="3" borderId="9" xfId="0" applyNumberFormat="1" applyFont="1" applyFill="1" applyBorder="1" applyAlignment="1" applyProtection="1">
      <alignment horizontal="center" vertical="center"/>
      <protection hidden="1"/>
    </xf>
    <xf numFmtId="2" fontId="23" fillId="0" borderId="5" xfId="0" applyNumberFormat="1" applyFont="1" applyBorder="1" applyAlignment="1" applyProtection="1">
      <alignment horizontal="center" vertical="center" wrapText="1"/>
      <protection locked="0"/>
    </xf>
    <xf numFmtId="1" fontId="23" fillId="3" borderId="4" xfId="0" applyNumberFormat="1" applyFont="1" applyFill="1" applyBorder="1" applyAlignment="1" applyProtection="1">
      <alignment horizontal="center" vertical="center"/>
      <protection hidden="1"/>
    </xf>
    <xf numFmtId="1" fontId="23" fillId="0" borderId="8" xfId="0" applyNumberFormat="1" applyFont="1" applyFill="1" applyBorder="1" applyAlignment="1" applyProtection="1">
      <alignment horizontal="center" vertical="center"/>
      <protection locked="0"/>
    </xf>
    <xf numFmtId="1" fontId="23" fillId="3" borderId="9" xfId="0" applyNumberFormat="1" applyFont="1" applyFill="1" applyBorder="1" applyAlignment="1" applyProtection="1">
      <alignment horizontal="center" vertical="center"/>
      <protection hidden="1"/>
    </xf>
    <xf numFmtId="1" fontId="23" fillId="0" borderId="5" xfId="0" applyNumberFormat="1" applyFont="1" applyBorder="1" applyAlignment="1" applyProtection="1">
      <alignment horizontal="center" vertical="center"/>
      <protection locked="0"/>
    </xf>
    <xf numFmtId="0" fontId="23" fillId="0" borderId="8" xfId="0" applyNumberFormat="1" applyFont="1" applyFill="1" applyBorder="1" applyAlignment="1" applyProtection="1">
      <alignment horizontal="center" vertical="center"/>
      <protection locked="0"/>
    </xf>
    <xf numFmtId="2" fontId="23" fillId="0" borderId="8" xfId="0" applyNumberFormat="1" applyFont="1" applyBorder="1" applyAlignment="1" applyProtection="1">
      <alignment horizontal="center" vertical="center" wrapText="1"/>
      <protection locked="0"/>
    </xf>
    <xf numFmtId="1" fontId="25" fillId="2" borderId="5" xfId="0" applyNumberFormat="1" applyFont="1" applyFill="1" applyBorder="1" applyAlignment="1" applyProtection="1">
      <alignment horizontal="center" vertical="center" wrapText="1"/>
      <protection hidden="1"/>
    </xf>
    <xf numFmtId="0" fontId="26" fillId="0" borderId="2" xfId="0" applyFont="1" applyBorder="1" applyAlignment="1" applyProtection="1">
      <alignment horizontal="left" vertical="center" wrapText="1"/>
      <protection locked="0"/>
    </xf>
    <xf numFmtId="0" fontId="23" fillId="0" borderId="2" xfId="0" applyFont="1" applyFill="1" applyBorder="1" applyAlignment="1" applyProtection="1">
      <alignment horizontal="center" vertical="center" wrapText="1"/>
      <protection locked="0"/>
    </xf>
    <xf numFmtId="0" fontId="24" fillId="0" borderId="2" xfId="0" applyFont="1" applyBorder="1" applyAlignment="1" applyProtection="1">
      <alignment horizontal="left"/>
      <protection locked="0"/>
    </xf>
    <xf numFmtId="0" fontId="24" fillId="0" borderId="2" xfId="0" applyFont="1" applyBorder="1" applyAlignment="1" applyProtection="1">
      <alignment horizontal="center" vertical="center" wrapText="1"/>
      <protection locked="0"/>
    </xf>
    <xf numFmtId="0" fontId="23" fillId="0" borderId="2" xfId="0" applyFont="1" applyBorder="1" applyAlignment="1" applyProtection="1">
      <alignment horizontal="left" vertical="center"/>
      <protection locked="0"/>
    </xf>
    <xf numFmtId="0" fontId="23" fillId="0" borderId="5" xfId="0" applyNumberFormat="1" applyFont="1" applyFill="1" applyBorder="1" applyAlignment="1" applyProtection="1">
      <alignment horizontal="center" vertical="center"/>
      <protection locked="0"/>
    </xf>
    <xf numFmtId="0" fontId="23" fillId="0" borderId="4" xfId="0" applyFont="1" applyBorder="1" applyAlignment="1" applyProtection="1">
      <alignment horizontal="center" vertical="top" wrapText="1"/>
      <protection locked="0"/>
    </xf>
    <xf numFmtId="14" fontId="23" fillId="6" borderId="4" xfId="0" applyNumberFormat="1" applyFont="1" applyFill="1" applyBorder="1" applyAlignment="1" applyProtection="1">
      <alignment horizontal="center" vertical="top" wrapText="1"/>
      <protection locked="0"/>
    </xf>
    <xf numFmtId="0" fontId="24" fillId="0" borderId="2" xfId="0" applyFont="1" applyBorder="1" applyAlignment="1" applyProtection="1">
      <alignment horizontal="left" vertical="center"/>
      <protection locked="0"/>
    </xf>
    <xf numFmtId="0" fontId="24" fillId="0" borderId="4" xfId="0" applyFont="1" applyBorder="1" applyAlignment="1" applyProtection="1">
      <alignment horizontal="center" vertical="top" wrapText="1"/>
      <protection locked="0"/>
    </xf>
    <xf numFmtId="0" fontId="23" fillId="0" borderId="2" xfId="0" applyFont="1" applyBorder="1" applyAlignment="1" applyProtection="1">
      <alignment horizontal="left"/>
      <protection locked="0"/>
    </xf>
    <xf numFmtId="0" fontId="23" fillId="0" borderId="2" xfId="0" applyFont="1" applyBorder="1" applyAlignment="1" applyProtection="1">
      <alignment horizontal="left" vertical="center" wrapText="1"/>
      <protection locked="0"/>
    </xf>
    <xf numFmtId="0" fontId="23" fillId="0" borderId="11" xfId="0" applyFont="1" applyFill="1" applyBorder="1" applyAlignment="1" applyProtection="1">
      <alignment horizontal="center" vertical="center"/>
      <protection locked="0"/>
    </xf>
    <xf numFmtId="1" fontId="23" fillId="0" borderId="10" xfId="0" applyNumberFormat="1" applyFont="1" applyBorder="1" applyAlignment="1" applyProtection="1">
      <alignment horizontal="center" vertical="center"/>
      <protection locked="0"/>
    </xf>
    <xf numFmtId="0" fontId="23" fillId="3" borderId="12" xfId="0" applyNumberFormat="1" applyFont="1" applyFill="1" applyBorder="1" applyAlignment="1" applyProtection="1">
      <alignment horizontal="center" vertical="center"/>
      <protection hidden="1"/>
    </xf>
    <xf numFmtId="2" fontId="23" fillId="0" borderId="24" xfId="0" applyNumberFormat="1" applyFont="1" applyBorder="1" applyAlignment="1" applyProtection="1">
      <alignment horizontal="center" vertical="center" wrapText="1"/>
      <protection locked="0"/>
    </xf>
    <xf numFmtId="1" fontId="23" fillId="3" borderId="21" xfId="0" applyNumberFormat="1" applyFont="1" applyFill="1" applyBorder="1" applyAlignment="1" applyProtection="1">
      <alignment horizontal="center" vertical="center"/>
      <protection hidden="1"/>
    </xf>
    <xf numFmtId="1" fontId="23" fillId="0" borderId="10" xfId="0" applyNumberFormat="1" applyFont="1" applyFill="1" applyBorder="1" applyAlignment="1" applyProtection="1">
      <alignment horizontal="center" vertical="center"/>
      <protection locked="0"/>
    </xf>
    <xf numFmtId="1" fontId="23" fillId="3" borderId="12" xfId="0" applyNumberFormat="1" applyFont="1" applyFill="1" applyBorder="1" applyAlignment="1" applyProtection="1">
      <alignment horizontal="center" vertical="center"/>
      <protection hidden="1"/>
    </xf>
    <xf numFmtId="0" fontId="23" fillId="0" borderId="10" xfId="0" applyNumberFormat="1" applyFont="1" applyFill="1" applyBorder="1" applyAlignment="1" applyProtection="1">
      <alignment horizontal="center" vertical="center"/>
      <protection locked="0"/>
    </xf>
    <xf numFmtId="1" fontId="23" fillId="0" borderId="24" xfId="0" applyNumberFormat="1" applyFont="1" applyBorder="1" applyAlignment="1" applyProtection="1">
      <alignment horizontal="center" vertical="center"/>
      <protection locked="0"/>
    </xf>
    <xf numFmtId="2" fontId="23" fillId="0" borderId="10" xfId="0" applyNumberFormat="1" applyFont="1" applyBorder="1" applyAlignment="1" applyProtection="1">
      <alignment horizontal="center" vertical="center" wrapText="1"/>
      <protection locked="0"/>
    </xf>
    <xf numFmtId="1" fontId="25" fillId="2" borderId="24" xfId="0" applyNumberFormat="1" applyFont="1" applyFill="1" applyBorder="1" applyAlignment="1" applyProtection="1">
      <alignment horizontal="center" vertical="center" wrapText="1"/>
      <protection hidden="1"/>
    </xf>
    <xf numFmtId="1" fontId="23" fillId="0" borderId="10" xfId="0" applyNumberFormat="1" applyFont="1" applyFill="1" applyBorder="1" applyAlignment="1" applyProtection="1">
      <alignment horizontal="center" vertical="center" wrapText="1"/>
      <protection locked="0"/>
    </xf>
    <xf numFmtId="49" fontId="23" fillId="0" borderId="12" xfId="0" applyNumberFormat="1" applyFont="1" applyFill="1" applyBorder="1" applyAlignment="1" applyProtection="1">
      <alignment horizontal="center" vertical="center" wrapText="1"/>
      <protection locked="0"/>
    </xf>
    <xf numFmtId="2" fontId="23" fillId="0" borderId="24" xfId="0" applyNumberFormat="1" applyFont="1" applyFill="1" applyBorder="1" applyAlignment="1" applyProtection="1">
      <alignment horizontal="center" vertical="center" wrapText="1"/>
      <protection locked="0"/>
    </xf>
    <xf numFmtId="49" fontId="23" fillId="0" borderId="21" xfId="0" applyNumberFormat="1" applyFont="1" applyFill="1" applyBorder="1" applyAlignment="1" applyProtection="1">
      <alignment horizontal="center" vertical="center" wrapText="1"/>
      <protection locked="0"/>
    </xf>
    <xf numFmtId="49" fontId="23" fillId="0" borderId="10" xfId="0" applyNumberFormat="1" applyFont="1" applyFill="1" applyBorder="1" applyAlignment="1" applyProtection="1">
      <alignment horizontal="center" vertical="center" wrapText="1"/>
      <protection locked="0"/>
    </xf>
    <xf numFmtId="49" fontId="23" fillId="0" borderId="24" xfId="0" applyNumberFormat="1" applyFont="1" applyFill="1" applyBorder="1" applyAlignment="1" applyProtection="1">
      <alignment horizontal="center" vertical="center" wrapText="1"/>
      <protection locked="0"/>
    </xf>
    <xf numFmtId="2" fontId="23" fillId="0" borderId="10" xfId="0" applyNumberFormat="1" applyFont="1" applyFill="1" applyBorder="1" applyAlignment="1" applyProtection="1">
      <alignment horizontal="center" vertical="center" wrapText="1"/>
      <protection locked="0"/>
    </xf>
    <xf numFmtId="0" fontId="23" fillId="0" borderId="0" xfId="0" applyFont="1" applyProtection="1">
      <protection locked="0"/>
    </xf>
    <xf numFmtId="0" fontId="23" fillId="0" borderId="0" xfId="0" applyNumberFormat="1" applyFont="1" applyAlignment="1" applyProtection="1">
      <alignment vertical="center"/>
      <protection locked="0"/>
    </xf>
    <xf numFmtId="0" fontId="23" fillId="0" borderId="0" xfId="0" applyFont="1" applyAlignment="1" applyProtection="1">
      <alignment horizontal="center" vertical="center"/>
      <protection locked="0"/>
    </xf>
    <xf numFmtId="0" fontId="23" fillId="0" borderId="0" xfId="0" applyFont="1" applyAlignment="1" applyProtection="1">
      <alignment horizontal="center" vertical="top" wrapText="1"/>
      <protection locked="0"/>
    </xf>
    <xf numFmtId="0" fontId="23" fillId="0" borderId="0" xfId="0" applyFont="1" applyAlignment="1" applyProtection="1">
      <alignment horizontal="right"/>
      <protection locked="0"/>
    </xf>
    <xf numFmtId="0" fontId="23" fillId="0" borderId="0" xfId="0" applyFont="1" applyAlignment="1" applyProtection="1">
      <alignment horizontal="left" vertical="center"/>
      <protection locked="0"/>
    </xf>
    <xf numFmtId="0" fontId="23" fillId="0" borderId="0" xfId="0" applyFont="1" applyFill="1" applyAlignment="1" applyProtection="1">
      <alignment horizontal="center" vertical="center"/>
      <protection locked="0"/>
    </xf>
    <xf numFmtId="1" fontId="23" fillId="0" borderId="0" xfId="0" applyNumberFormat="1" applyFont="1" applyAlignment="1" applyProtection="1">
      <alignment horizontal="center" vertical="center"/>
      <protection locked="0"/>
    </xf>
    <xf numFmtId="2" fontId="23" fillId="0" borderId="0" xfId="0" applyNumberFormat="1" applyFont="1" applyAlignment="1" applyProtection="1">
      <alignment horizontal="center" vertical="center"/>
      <protection locked="0"/>
    </xf>
    <xf numFmtId="0" fontId="23" fillId="0" borderId="3" xfId="0" applyFont="1" applyFill="1" applyBorder="1" applyAlignment="1" applyProtection="1">
      <alignment horizontal="center" vertical="center"/>
      <protection locked="0"/>
    </xf>
    <xf numFmtId="49" fontId="25" fillId="9" borderId="17" xfId="0" applyNumberFormat="1" applyFont="1" applyFill="1" applyBorder="1" applyAlignment="1" applyProtection="1">
      <alignment horizontal="center" vertical="center" textRotation="90" wrapText="1"/>
      <protection locked="0"/>
    </xf>
    <xf numFmtId="49" fontId="25" fillId="9" borderId="9" xfId="0" applyNumberFormat="1" applyFont="1" applyFill="1" applyBorder="1" applyAlignment="1" applyProtection="1">
      <alignment horizontal="center" vertical="center" textRotation="90" wrapText="1"/>
      <protection locked="0"/>
    </xf>
    <xf numFmtId="49" fontId="25" fillId="9" borderId="12" xfId="0" applyNumberFormat="1" applyFont="1" applyFill="1" applyBorder="1" applyAlignment="1" applyProtection="1">
      <alignment horizontal="center" vertical="center" textRotation="90" wrapText="1"/>
      <protection locked="0"/>
    </xf>
    <xf numFmtId="0" fontId="23" fillId="0" borderId="6" xfId="0" applyFont="1" applyBorder="1" applyAlignment="1" applyProtection="1">
      <alignment horizontal="center" vertical="center" wrapText="1"/>
      <protection locked="0"/>
    </xf>
    <xf numFmtId="0" fontId="23" fillId="0" borderId="8" xfId="0" applyFont="1" applyBorder="1" applyAlignment="1" applyProtection="1">
      <alignment horizontal="center" vertical="center" wrapText="1"/>
      <protection locked="0"/>
    </xf>
    <xf numFmtId="0" fontId="23" fillId="0" borderId="10" xfId="0" applyFont="1" applyBorder="1" applyAlignment="1" applyProtection="1">
      <alignment horizontal="center" vertical="center" wrapText="1"/>
      <protection locked="0"/>
    </xf>
    <xf numFmtId="0" fontId="23" fillId="0" borderId="7" xfId="0" applyFont="1" applyBorder="1" applyAlignment="1" applyProtection="1">
      <alignment horizontal="center" vertical="center" wrapText="1"/>
      <protection locked="0"/>
    </xf>
    <xf numFmtId="0" fontId="23" fillId="0" borderId="2" xfId="0" applyFont="1" applyBorder="1" applyAlignment="1" applyProtection="1">
      <alignment horizontal="center" vertical="center" wrapText="1"/>
      <protection locked="0"/>
    </xf>
    <xf numFmtId="0" fontId="23" fillId="0" borderId="11" xfId="0" applyFont="1" applyBorder="1" applyAlignment="1" applyProtection="1">
      <alignment horizontal="center" vertical="center" wrapText="1"/>
      <protection locked="0"/>
    </xf>
    <xf numFmtId="0" fontId="23" fillId="0" borderId="16" xfId="0" applyFont="1" applyBorder="1" applyAlignment="1" applyProtection="1">
      <alignment horizontal="center" vertical="center" wrapText="1"/>
      <protection locked="0"/>
    </xf>
    <xf numFmtId="0" fontId="23" fillId="0" borderId="4" xfId="0" applyFont="1" applyBorder="1" applyAlignment="1" applyProtection="1">
      <alignment horizontal="center" vertical="center" wrapText="1"/>
      <protection locked="0"/>
    </xf>
    <xf numFmtId="0" fontId="23" fillId="0" borderId="21" xfId="0" applyFont="1" applyBorder="1" applyAlignment="1" applyProtection="1">
      <alignment horizontal="center" vertical="center" wrapText="1"/>
      <protection locked="0"/>
    </xf>
    <xf numFmtId="0" fontId="23" fillId="0" borderId="27" xfId="0" applyFont="1" applyBorder="1" applyAlignment="1" applyProtection="1">
      <alignment horizontal="center" vertical="center" wrapText="1"/>
      <protection locked="0"/>
    </xf>
    <xf numFmtId="0" fontId="23" fillId="0" borderId="26" xfId="0" applyFont="1" applyBorder="1" applyAlignment="1" applyProtection="1">
      <alignment horizontal="center" vertical="center" wrapText="1"/>
      <protection locked="0"/>
    </xf>
    <xf numFmtId="0" fontId="23" fillId="0" borderId="28" xfId="0" applyFont="1" applyBorder="1" applyAlignment="1" applyProtection="1">
      <alignment horizontal="center" vertical="center" wrapText="1"/>
      <protection locked="0"/>
    </xf>
    <xf numFmtId="0" fontId="10" fillId="0" borderId="0" xfId="0" applyFont="1" applyBorder="1" applyAlignment="1" applyProtection="1">
      <alignment horizontal="center" vertical="center" wrapText="1"/>
      <protection locked="0"/>
    </xf>
    <xf numFmtId="0" fontId="11" fillId="0" borderId="0" xfId="0" applyFont="1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center"/>
    </xf>
    <xf numFmtId="49" fontId="27" fillId="8" borderId="23" xfId="0" applyNumberFormat="1" applyFont="1" applyFill="1" applyBorder="1" applyAlignment="1" applyProtection="1">
      <alignment horizontal="center" vertical="center" wrapText="1"/>
      <protection locked="0"/>
    </xf>
    <xf numFmtId="49" fontId="27" fillId="8" borderId="16" xfId="0" applyNumberFormat="1" applyFont="1" applyFill="1" applyBorder="1" applyAlignment="1" applyProtection="1">
      <alignment horizontal="center" vertical="center" wrapText="1"/>
      <protection locked="0"/>
    </xf>
    <xf numFmtId="49" fontId="27" fillId="8" borderId="5" xfId="0" applyNumberFormat="1" applyFont="1" applyFill="1" applyBorder="1" applyAlignment="1" applyProtection="1">
      <alignment horizontal="center" vertical="center" wrapText="1"/>
      <protection locked="0"/>
    </xf>
    <xf numFmtId="49" fontId="27" fillId="8" borderId="4" xfId="0" applyNumberFormat="1" applyFont="1" applyFill="1" applyBorder="1" applyAlignment="1" applyProtection="1">
      <alignment horizontal="center" vertical="center" wrapText="1"/>
      <protection locked="0"/>
    </xf>
    <xf numFmtId="49" fontId="27" fillId="12" borderId="6" xfId="0" applyNumberFormat="1" applyFont="1" applyFill="1" applyBorder="1" applyAlignment="1" applyProtection="1">
      <alignment horizontal="center" vertical="center" wrapText="1"/>
      <protection locked="0"/>
    </xf>
    <xf numFmtId="49" fontId="27" fillId="12" borderId="17" xfId="0" applyNumberFormat="1" applyFont="1" applyFill="1" applyBorder="1" applyAlignment="1" applyProtection="1">
      <alignment horizontal="center" vertical="center" wrapText="1"/>
      <protection locked="0"/>
    </xf>
    <xf numFmtId="49" fontId="27" fillId="12" borderId="8" xfId="0" applyNumberFormat="1" applyFont="1" applyFill="1" applyBorder="1" applyAlignment="1" applyProtection="1">
      <alignment horizontal="center" vertical="center" wrapText="1"/>
      <protection locked="0"/>
    </xf>
    <xf numFmtId="49" fontId="27" fillId="12" borderId="9" xfId="0" applyNumberFormat="1" applyFont="1" applyFill="1" applyBorder="1" applyAlignment="1" applyProtection="1">
      <alignment horizontal="center" vertical="center" wrapText="1"/>
      <protection locked="0"/>
    </xf>
    <xf numFmtId="49" fontId="25" fillId="4" borderId="6" xfId="0" applyNumberFormat="1" applyFont="1" applyFill="1" applyBorder="1" applyAlignment="1" applyProtection="1">
      <alignment horizontal="center" vertical="center" wrapText="1"/>
      <protection locked="0"/>
    </xf>
    <xf numFmtId="49" fontId="25" fillId="4" borderId="17" xfId="0" applyNumberFormat="1" applyFont="1" applyFill="1" applyBorder="1" applyAlignment="1" applyProtection="1">
      <alignment horizontal="center" vertical="center" wrapText="1"/>
      <protection locked="0"/>
    </xf>
    <xf numFmtId="49" fontId="27" fillId="5" borderId="23" xfId="0" applyNumberFormat="1" applyFont="1" applyFill="1" applyBorder="1" applyAlignment="1" applyProtection="1">
      <alignment horizontal="center" vertical="center" wrapText="1"/>
      <protection locked="0"/>
    </xf>
    <xf numFmtId="49" fontId="27" fillId="5" borderId="16" xfId="0" applyNumberFormat="1" applyFont="1" applyFill="1" applyBorder="1" applyAlignment="1" applyProtection="1">
      <alignment horizontal="center" vertical="center" wrapText="1"/>
      <protection locked="0"/>
    </xf>
    <xf numFmtId="49" fontId="27" fillId="9" borderId="6" xfId="0" applyNumberFormat="1" applyFont="1" applyFill="1" applyBorder="1" applyAlignment="1" applyProtection="1">
      <alignment horizontal="center" vertical="center" wrapText="1"/>
      <protection locked="0"/>
    </xf>
    <xf numFmtId="49" fontId="27" fillId="9" borderId="17" xfId="0" applyNumberFormat="1" applyFont="1" applyFill="1" applyBorder="1" applyAlignment="1" applyProtection="1">
      <alignment horizontal="center" vertical="center" wrapText="1"/>
      <protection locked="0"/>
    </xf>
    <xf numFmtId="49" fontId="27" fillId="10" borderId="23" xfId="0" applyNumberFormat="1" applyFont="1" applyFill="1" applyBorder="1" applyAlignment="1" applyProtection="1">
      <alignment horizontal="center" vertical="center" wrapText="1"/>
      <protection locked="0"/>
    </xf>
    <xf numFmtId="49" fontId="27" fillId="10" borderId="16" xfId="0" applyNumberFormat="1" applyFont="1" applyFill="1" applyBorder="1" applyAlignment="1" applyProtection="1">
      <alignment horizontal="center" vertical="center" wrapText="1"/>
      <protection locked="0"/>
    </xf>
    <xf numFmtId="49" fontId="25" fillId="4" borderId="8" xfId="0" applyNumberFormat="1" applyFont="1" applyFill="1" applyBorder="1" applyAlignment="1" applyProtection="1">
      <alignment horizontal="center" vertical="center" wrapText="1"/>
      <protection locked="0"/>
    </xf>
    <xf numFmtId="49" fontId="25" fillId="4" borderId="9" xfId="0" applyNumberFormat="1" applyFont="1" applyFill="1" applyBorder="1" applyAlignment="1" applyProtection="1">
      <alignment horizontal="center" vertical="center" wrapText="1"/>
      <protection locked="0"/>
    </xf>
    <xf numFmtId="49" fontId="27" fillId="5" borderId="5" xfId="0" applyNumberFormat="1" applyFont="1" applyFill="1" applyBorder="1" applyAlignment="1" applyProtection="1">
      <alignment horizontal="center" vertical="center" wrapText="1"/>
      <protection locked="0"/>
    </xf>
    <xf numFmtId="49" fontId="27" fillId="5" borderId="4" xfId="0" applyNumberFormat="1" applyFont="1" applyFill="1" applyBorder="1" applyAlignment="1" applyProtection="1">
      <alignment horizontal="center" vertical="center" wrapText="1"/>
      <protection locked="0"/>
    </xf>
    <xf numFmtId="49" fontId="27" fillId="10" borderId="5" xfId="0" applyNumberFormat="1" applyFont="1" applyFill="1" applyBorder="1" applyAlignment="1" applyProtection="1">
      <alignment horizontal="center" vertical="center" wrapText="1"/>
      <protection locked="0"/>
    </xf>
    <xf numFmtId="49" fontId="27" fillId="10" borderId="4" xfId="0" applyNumberFormat="1" applyFont="1" applyFill="1" applyBorder="1" applyAlignment="1" applyProtection="1">
      <alignment horizontal="center" vertical="center" wrapText="1"/>
      <protection locked="0"/>
    </xf>
    <xf numFmtId="1" fontId="27" fillId="9" borderId="8" xfId="0" applyNumberFormat="1" applyFont="1" applyFill="1" applyBorder="1" applyAlignment="1" applyProtection="1">
      <alignment horizontal="center" vertical="center" wrapText="1"/>
      <protection locked="0"/>
    </xf>
    <xf numFmtId="1" fontId="27" fillId="9" borderId="9" xfId="0" applyNumberFormat="1" applyFont="1" applyFill="1" applyBorder="1" applyAlignment="1" applyProtection="1">
      <alignment horizontal="center" vertical="center" wrapText="1"/>
      <protection locked="0"/>
    </xf>
    <xf numFmtId="49" fontId="27" fillId="13" borderId="6" xfId="0" applyNumberFormat="1" applyFont="1" applyFill="1" applyBorder="1" applyAlignment="1" applyProtection="1">
      <alignment horizontal="center" vertical="center" wrapText="1"/>
      <protection locked="0"/>
    </xf>
    <xf numFmtId="49" fontId="27" fillId="13" borderId="17" xfId="0" applyNumberFormat="1" applyFont="1" applyFill="1" applyBorder="1" applyAlignment="1" applyProtection="1">
      <alignment horizontal="center" vertical="center" wrapText="1"/>
      <protection locked="0"/>
    </xf>
    <xf numFmtId="49" fontId="27" fillId="13" borderId="8" xfId="0" applyNumberFormat="1" applyFont="1" applyFill="1" applyBorder="1" applyAlignment="1" applyProtection="1">
      <alignment horizontal="center" vertical="center" wrapText="1"/>
      <protection locked="0"/>
    </xf>
    <xf numFmtId="49" fontId="27" fillId="13" borderId="9" xfId="0" applyNumberFormat="1" applyFont="1" applyFill="1" applyBorder="1" applyAlignment="1" applyProtection="1">
      <alignment horizontal="center" vertical="center" wrapText="1"/>
      <protection locked="0"/>
    </xf>
    <xf numFmtId="49" fontId="25" fillId="2" borderId="23" xfId="0" applyNumberFormat="1" applyFont="1" applyFill="1" applyBorder="1" applyAlignment="1" applyProtection="1">
      <alignment horizontal="center" vertical="center" textRotation="90" wrapText="1"/>
      <protection locked="0"/>
    </xf>
    <xf numFmtId="49" fontId="25" fillId="2" borderId="5" xfId="0" applyNumberFormat="1" applyFont="1" applyFill="1" applyBorder="1" applyAlignment="1" applyProtection="1">
      <alignment horizontal="center" vertical="center" textRotation="90" wrapText="1"/>
      <protection locked="0"/>
    </xf>
    <xf numFmtId="49" fontId="25" fillId="2" borderId="24" xfId="0" applyNumberFormat="1" applyFont="1" applyFill="1" applyBorder="1" applyAlignment="1" applyProtection="1">
      <alignment horizontal="center" vertical="center" textRotation="90" wrapText="1"/>
      <protection locked="0"/>
    </xf>
    <xf numFmtId="49" fontId="18" fillId="8" borderId="23" xfId="0" applyNumberFormat="1" applyFont="1" applyFill="1" applyBorder="1" applyAlignment="1" applyProtection="1">
      <alignment horizontal="center" vertical="center" wrapText="1"/>
      <protection locked="0"/>
    </xf>
    <xf numFmtId="49" fontId="18" fillId="8" borderId="16" xfId="0" applyNumberFormat="1" applyFont="1" applyFill="1" applyBorder="1" applyAlignment="1" applyProtection="1">
      <alignment horizontal="center" vertical="center" wrapText="1"/>
      <protection locked="0"/>
    </xf>
    <xf numFmtId="49" fontId="18" fillId="12" borderId="6" xfId="0" applyNumberFormat="1" applyFont="1" applyFill="1" applyBorder="1" applyAlignment="1" applyProtection="1">
      <alignment horizontal="center" vertical="center" wrapText="1"/>
      <protection locked="0"/>
    </xf>
    <xf numFmtId="49" fontId="18" fillId="12" borderId="17" xfId="0" applyNumberFormat="1" applyFont="1" applyFill="1" applyBorder="1" applyAlignment="1" applyProtection="1">
      <alignment horizontal="center" vertical="center" wrapText="1"/>
      <protection locked="0"/>
    </xf>
    <xf numFmtId="49" fontId="2" fillId="2" borderId="23" xfId="0" applyNumberFormat="1" applyFont="1" applyFill="1" applyBorder="1" applyAlignment="1" applyProtection="1">
      <alignment horizontal="center" vertical="center" textRotation="90" wrapText="1"/>
      <protection locked="0"/>
    </xf>
    <xf numFmtId="49" fontId="2" fillId="2" borderId="5" xfId="0" applyNumberFormat="1" applyFont="1" applyFill="1" applyBorder="1" applyAlignment="1" applyProtection="1">
      <alignment horizontal="center" vertical="center" textRotation="90" wrapText="1"/>
      <protection locked="0"/>
    </xf>
    <xf numFmtId="49" fontId="2" fillId="2" borderId="24" xfId="0" applyNumberFormat="1" applyFont="1" applyFill="1" applyBorder="1" applyAlignment="1" applyProtection="1">
      <alignment horizontal="center" vertical="center" textRotation="90" wrapText="1"/>
      <protection locked="0"/>
    </xf>
    <xf numFmtId="49" fontId="2" fillId="9" borderId="17" xfId="0" applyNumberFormat="1" applyFont="1" applyFill="1" applyBorder="1" applyAlignment="1" applyProtection="1">
      <alignment horizontal="center" vertical="center" textRotation="90" wrapText="1"/>
      <protection locked="0"/>
    </xf>
    <xf numFmtId="49" fontId="2" fillId="9" borderId="9" xfId="0" applyNumberFormat="1" applyFont="1" applyFill="1" applyBorder="1" applyAlignment="1" applyProtection="1">
      <alignment horizontal="center" vertical="center" textRotation="90" wrapText="1"/>
      <protection locked="0"/>
    </xf>
    <xf numFmtId="49" fontId="2" fillId="9" borderId="12" xfId="0" applyNumberFormat="1" applyFont="1" applyFill="1" applyBorder="1" applyAlignment="1" applyProtection="1">
      <alignment horizontal="center" vertical="center" textRotation="90" wrapText="1"/>
      <protection locked="0"/>
    </xf>
    <xf numFmtId="49" fontId="3" fillId="8" borderId="5" xfId="0" applyNumberFormat="1" applyFont="1" applyFill="1" applyBorder="1" applyAlignment="1" applyProtection="1">
      <alignment horizontal="center" vertical="center" wrapText="1"/>
      <protection locked="0"/>
    </xf>
    <xf numFmtId="49" fontId="3" fillId="8" borderId="4" xfId="0" applyNumberFormat="1" applyFont="1" applyFill="1" applyBorder="1" applyAlignment="1" applyProtection="1">
      <alignment horizontal="center" vertical="center" wrapText="1"/>
      <protection locked="0"/>
    </xf>
    <xf numFmtId="0" fontId="6" fillId="0" borderId="6" xfId="0" applyFont="1" applyBorder="1" applyAlignment="1" applyProtection="1">
      <alignment horizontal="center" vertical="center" wrapText="1"/>
      <protection locked="0"/>
    </xf>
    <xf numFmtId="0" fontId="6" fillId="0" borderId="8" xfId="0" applyFont="1" applyBorder="1" applyAlignment="1" applyProtection="1">
      <alignment horizontal="center" vertical="center" wrapText="1"/>
      <protection locked="0"/>
    </xf>
    <xf numFmtId="0" fontId="6" fillId="0" borderId="10" xfId="0" applyFont="1" applyBorder="1" applyAlignment="1" applyProtection="1">
      <alignment horizontal="center" vertical="center" wrapText="1"/>
      <protection locked="0"/>
    </xf>
    <xf numFmtId="0" fontId="6" fillId="0" borderId="7" xfId="0" applyFont="1" applyBorder="1" applyAlignment="1" applyProtection="1">
      <alignment horizontal="center" vertical="center" wrapText="1"/>
      <protection locked="0"/>
    </xf>
    <xf numFmtId="0" fontId="6" fillId="0" borderId="2" xfId="0" applyFont="1" applyBorder="1" applyAlignment="1" applyProtection="1">
      <alignment horizontal="center" vertical="center" wrapText="1"/>
      <protection locked="0"/>
    </xf>
    <xf numFmtId="0" fontId="6" fillId="0" borderId="11" xfId="0" applyFont="1" applyBorder="1" applyAlignment="1" applyProtection="1">
      <alignment horizontal="center" vertical="center" wrapText="1"/>
      <protection locked="0"/>
    </xf>
    <xf numFmtId="0" fontId="6" fillId="0" borderId="16" xfId="0" applyFont="1" applyBorder="1" applyAlignment="1" applyProtection="1">
      <alignment horizontal="center" vertical="center" wrapText="1"/>
      <protection locked="0"/>
    </xf>
    <xf numFmtId="0" fontId="6" fillId="0" borderId="4" xfId="0" applyFont="1" applyBorder="1" applyAlignment="1" applyProtection="1">
      <alignment horizontal="center" vertical="center" wrapText="1"/>
      <protection locked="0"/>
    </xf>
    <xf numFmtId="0" fontId="6" fillId="0" borderId="21" xfId="0" applyFont="1" applyBorder="1" applyAlignment="1" applyProtection="1">
      <alignment horizontal="center" vertical="center" wrapText="1"/>
      <protection locked="0"/>
    </xf>
    <xf numFmtId="49" fontId="17" fillId="4" borderId="6" xfId="0" applyNumberFormat="1" applyFont="1" applyFill="1" applyBorder="1" applyAlignment="1" applyProtection="1">
      <alignment horizontal="center" vertical="center" wrapText="1"/>
      <protection locked="0"/>
    </xf>
    <xf numFmtId="49" fontId="17" fillId="4" borderId="17" xfId="0" applyNumberFormat="1" applyFont="1" applyFill="1" applyBorder="1" applyAlignment="1" applyProtection="1">
      <alignment horizontal="center" vertical="center" wrapText="1"/>
      <protection locked="0"/>
    </xf>
    <xf numFmtId="49" fontId="18" fillId="5" borderId="23" xfId="0" applyNumberFormat="1" applyFont="1" applyFill="1" applyBorder="1" applyAlignment="1" applyProtection="1">
      <alignment horizontal="center" vertical="center" wrapText="1"/>
      <protection locked="0"/>
    </xf>
    <xf numFmtId="49" fontId="18" fillId="5" borderId="16" xfId="0" applyNumberFormat="1" applyFont="1" applyFill="1" applyBorder="1" applyAlignment="1" applyProtection="1">
      <alignment horizontal="center" vertical="center" wrapText="1"/>
      <protection locked="0"/>
    </xf>
    <xf numFmtId="49" fontId="18" fillId="9" borderId="6" xfId="0" applyNumberFormat="1" applyFont="1" applyFill="1" applyBorder="1" applyAlignment="1" applyProtection="1">
      <alignment horizontal="center" vertical="center" wrapText="1"/>
      <protection locked="0"/>
    </xf>
    <xf numFmtId="49" fontId="18" fillId="9" borderId="17" xfId="0" applyNumberFormat="1" applyFont="1" applyFill="1" applyBorder="1" applyAlignment="1" applyProtection="1">
      <alignment horizontal="center" vertical="center" wrapText="1"/>
      <protection locked="0"/>
    </xf>
    <xf numFmtId="49" fontId="18" fillId="10" borderId="23" xfId="0" applyNumberFormat="1" applyFont="1" applyFill="1" applyBorder="1" applyAlignment="1" applyProtection="1">
      <alignment horizontal="center" vertical="center" wrapText="1"/>
      <protection locked="0"/>
    </xf>
    <xf numFmtId="49" fontId="18" fillId="10" borderId="16" xfId="0" applyNumberFormat="1" applyFont="1" applyFill="1" applyBorder="1" applyAlignment="1" applyProtection="1">
      <alignment horizontal="center" vertical="center" wrapText="1"/>
      <protection locked="0"/>
    </xf>
    <xf numFmtId="49" fontId="18" fillId="13" borderId="6" xfId="0" applyNumberFormat="1" applyFont="1" applyFill="1" applyBorder="1" applyAlignment="1" applyProtection="1">
      <alignment horizontal="center" vertical="center" wrapText="1"/>
      <protection locked="0"/>
    </xf>
    <xf numFmtId="49" fontId="18" fillId="13" borderId="17" xfId="0" applyNumberFormat="1" applyFont="1" applyFill="1" applyBorder="1" applyAlignment="1" applyProtection="1">
      <alignment horizontal="center" vertical="center" wrapText="1"/>
      <protection locked="0"/>
    </xf>
    <xf numFmtId="49" fontId="2" fillId="4" borderId="8" xfId="0" applyNumberFormat="1" applyFont="1" applyFill="1" applyBorder="1" applyAlignment="1" applyProtection="1">
      <alignment horizontal="center" vertical="center" wrapText="1"/>
      <protection locked="0"/>
    </xf>
    <xf numFmtId="49" fontId="2" fillId="4" borderId="9" xfId="0" applyNumberFormat="1" applyFont="1" applyFill="1" applyBorder="1" applyAlignment="1" applyProtection="1">
      <alignment horizontal="center" vertical="center" wrapText="1"/>
      <protection locked="0"/>
    </xf>
    <xf numFmtId="49" fontId="3" fillId="5" borderId="5" xfId="0" applyNumberFormat="1" applyFont="1" applyFill="1" applyBorder="1" applyAlignment="1" applyProtection="1">
      <alignment horizontal="center" vertical="center" wrapText="1"/>
      <protection locked="0"/>
    </xf>
    <xf numFmtId="49" fontId="3" fillId="5" borderId="4" xfId="0" applyNumberFormat="1" applyFont="1" applyFill="1" applyBorder="1" applyAlignment="1" applyProtection="1">
      <alignment horizontal="center" vertical="center" wrapText="1"/>
      <protection locked="0"/>
    </xf>
    <xf numFmtId="1" fontId="3" fillId="9" borderId="8" xfId="0" applyNumberFormat="1" applyFont="1" applyFill="1" applyBorder="1" applyAlignment="1" applyProtection="1">
      <alignment horizontal="center" vertical="center" wrapText="1"/>
      <protection locked="0"/>
    </xf>
    <xf numFmtId="1" fontId="3" fillId="9" borderId="9" xfId="0" applyNumberFormat="1" applyFont="1" applyFill="1" applyBorder="1" applyAlignment="1" applyProtection="1">
      <alignment horizontal="center" vertical="center" wrapText="1"/>
      <protection locked="0"/>
    </xf>
    <xf numFmtId="49" fontId="3" fillId="10" borderId="5" xfId="0" applyNumberFormat="1" applyFont="1" applyFill="1" applyBorder="1" applyAlignment="1" applyProtection="1">
      <alignment horizontal="center" vertical="center" wrapText="1"/>
      <protection locked="0"/>
    </xf>
    <xf numFmtId="49" fontId="3" fillId="10" borderId="4" xfId="0" applyNumberFormat="1" applyFont="1" applyFill="1" applyBorder="1" applyAlignment="1" applyProtection="1">
      <alignment horizontal="center" vertical="center" wrapText="1"/>
      <protection locked="0"/>
    </xf>
    <xf numFmtId="49" fontId="3" fillId="13" borderId="8" xfId="0" applyNumberFormat="1" applyFont="1" applyFill="1" applyBorder="1" applyAlignment="1" applyProtection="1">
      <alignment horizontal="center" vertical="center" wrapText="1"/>
      <protection locked="0"/>
    </xf>
    <xf numFmtId="49" fontId="3" fillId="13" borderId="9" xfId="0" applyNumberFormat="1" applyFont="1" applyFill="1" applyBorder="1" applyAlignment="1" applyProtection="1">
      <alignment horizontal="center" vertical="center" wrapText="1"/>
      <protection locked="0"/>
    </xf>
    <xf numFmtId="49" fontId="3" fillId="12" borderId="8" xfId="0" applyNumberFormat="1" applyFont="1" applyFill="1" applyBorder="1" applyAlignment="1" applyProtection="1">
      <alignment horizontal="center" vertical="center" wrapText="1"/>
      <protection locked="0"/>
    </xf>
    <xf numFmtId="49" fontId="3" fillId="12" borderId="9" xfId="0" applyNumberFormat="1" applyFont="1" applyFill="1" applyBorder="1" applyAlignment="1" applyProtection="1">
      <alignment horizontal="center" vertical="center" wrapText="1"/>
      <protection locked="0"/>
    </xf>
    <xf numFmtId="0" fontId="12" fillId="0" borderId="0" xfId="0" applyNumberFormat="1" applyFont="1" applyAlignment="1">
      <alignment horizontal="center" wrapText="1"/>
    </xf>
    <xf numFmtId="0" fontId="8" fillId="0" borderId="14" xfId="0" applyFont="1" applyBorder="1" applyAlignment="1">
      <alignment horizontal="center" vertical="center" wrapText="1"/>
    </xf>
    <xf numFmtId="0" fontId="8" fillId="0" borderId="15" xfId="0" applyFont="1" applyBorder="1" applyAlignment="1">
      <alignment horizontal="center" vertical="center" wrapText="1"/>
    </xf>
    <xf numFmtId="0" fontId="26" fillId="0" borderId="3" xfId="0" applyFont="1" applyBorder="1" applyAlignment="1" applyProtection="1">
      <alignment horizontal="left" vertical="center" wrapText="1"/>
      <protection locked="0"/>
    </xf>
    <xf numFmtId="0" fontId="26" fillId="11" borderId="11" xfId="0" applyFont="1" applyFill="1" applyBorder="1" applyAlignment="1" applyProtection="1">
      <alignment horizontal="left" vertical="center" wrapText="1"/>
      <protection locked="0"/>
    </xf>
    <xf numFmtId="14" fontId="23" fillId="6" borderId="21" xfId="0" applyNumberFormat="1" applyFont="1" applyFill="1" applyBorder="1" applyAlignment="1" applyProtection="1">
      <alignment horizontal="center" vertical="top" wrapText="1"/>
      <protection locked="0"/>
    </xf>
    <xf numFmtId="0" fontId="23" fillId="0" borderId="26" xfId="0" applyFont="1" applyFill="1" applyBorder="1" applyAlignment="1" applyProtection="1">
      <alignment horizontal="center" vertical="center"/>
      <protection locked="0"/>
    </xf>
    <xf numFmtId="0" fontId="23" fillId="0" borderId="24" xfId="0" applyNumberFormat="1" applyFont="1" applyFill="1" applyBorder="1" applyAlignment="1" applyProtection="1">
      <alignment horizontal="center" vertical="center"/>
      <protection locked="0"/>
    </xf>
  </cellXfs>
  <cellStyles count="1">
    <cellStyle name="Обычный" xfId="0" builtinId="0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342900</xdr:colOff>
          <xdr:row>0</xdr:row>
          <xdr:rowOff>276225</xdr:rowOff>
        </xdr:from>
        <xdr:to>
          <xdr:col>27</xdr:col>
          <xdr:colOff>285750</xdr:colOff>
          <xdr:row>109</xdr:row>
          <xdr:rowOff>31750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ru-RU" sz="28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ОТСОРТИРОВАТЬ</a:t>
              </a:r>
            </a:p>
            <a:p>
              <a:pPr algn="ctr" rtl="0">
                <a:defRPr sz="1000"/>
              </a:pPr>
              <a:r>
                <a:rPr lang="ru-RU" sz="28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+</a:t>
              </a:r>
            </a:p>
            <a:p>
              <a:pPr algn="ctr" rtl="0">
                <a:defRPr sz="1000"/>
              </a:pPr>
              <a:r>
                <a:rPr lang="ru-RU" sz="28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 ОТПРАВИТЬ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externalLinkPath" Target="/&#1040;&#1085;&#1076;&#1088;&#1077;&#1081;/&#1056;&#1072;&#1073;&#1086;&#1095;&#1072;&#1103;/&#1060;&#1058;&#1041;/&#1056;&#1077;&#1081;&#1090;&#1080;&#1085;&#1075;%20&#1074;&#1079;&#1074;&#1086;&#1076;&#1086;&#1074;/&#1057;&#1055;&#1054;&#1056;&#1058;!!!!/&#1042;&#1077;&#1076;&#1086;&#1084;&#1086;&#1089;&#1090;&#1100;%20&#1050;&#1086;&#1085;&#1082;&#1091;&#1088;&#1089;&#1072;%20&#1089;&#1087;&#1086;&#1088;&#1090;&#1080;&#1074;&#1085;&#1099;&#1093;%20&#1089;&#1086;&#1089;&#1090;&#1103;&#1079;&#1072;&#1085;&#1080;&#1081;%20&#1076;&#1077;&#1082;&#1072;&#1073;&#1088;&#1100;%202026.xlsx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externalLinkPath" Target="/&#1040;&#1085;&#1076;&#1088;&#1077;&#1081;/&#1056;&#1072;&#1073;&#1086;&#1095;&#1072;&#1103;/&#1060;&#1058;&#1041;/&#1056;&#1077;&#1081;&#1090;&#1080;&#1085;&#1075;%20&#1074;&#1079;&#1074;&#1086;&#1076;&#1086;&#1074;/&#1057;&#1055;&#1054;&#1056;&#1058;!!!!/&#1042;&#1077;&#1076;&#1086;&#1084;&#1086;&#1089;&#1090;&#1100;%20&#1050;&#1086;&#1085;&#1082;&#1091;&#1088;&#1089;&#1072;%20&#1089;&#1087;&#1086;&#1088;&#1090;&#1080;&#1074;&#1085;&#1099;&#1093;%20&#1089;&#1086;&#1089;&#1090;&#1103;&#1079;&#1072;&#1085;&#1080;&#1081;%20&#1076;&#1077;&#1082;&#1072;&#1073;&#1088;&#1100;%202026.xlsx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B21"/>
  <sheetViews>
    <sheetView workbookViewId="0">
      <selection activeCell="B14" sqref="B14"/>
    </sheetView>
  </sheetViews>
  <sheetFormatPr defaultRowHeight="12.75" x14ac:dyDescent="0.2"/>
  <cols>
    <col min="1" max="1" width="11.140625" style="36" customWidth="1"/>
    <col min="2" max="2" width="46.7109375" customWidth="1"/>
  </cols>
  <sheetData>
    <row r="1" spans="1:2" ht="18.75" x14ac:dyDescent="0.2">
      <c r="A1" s="66" t="s">
        <v>4</v>
      </c>
      <c r="B1" s="66" t="s">
        <v>132</v>
      </c>
    </row>
    <row r="2" spans="1:2" ht="18.75" x14ac:dyDescent="0.2">
      <c r="A2" s="66">
        <v>1</v>
      </c>
      <c r="B2" s="66" t="s">
        <v>121</v>
      </c>
    </row>
    <row r="3" spans="1:2" ht="18.75" x14ac:dyDescent="0.2">
      <c r="A3" s="66">
        <v>2</v>
      </c>
      <c r="B3" s="66" t="s">
        <v>122</v>
      </c>
    </row>
    <row r="4" spans="1:2" ht="18.75" x14ac:dyDescent="0.2">
      <c r="A4" s="66">
        <v>3</v>
      </c>
      <c r="B4" s="66" t="s">
        <v>126</v>
      </c>
    </row>
    <row r="5" spans="1:2" ht="18.75" x14ac:dyDescent="0.2">
      <c r="A5" s="66">
        <v>4</v>
      </c>
      <c r="B5" s="66" t="s">
        <v>123</v>
      </c>
    </row>
    <row r="6" spans="1:2" ht="18.75" x14ac:dyDescent="0.2">
      <c r="A6" s="66">
        <v>5</v>
      </c>
      <c r="B6" s="62" t="s">
        <v>124</v>
      </c>
    </row>
    <row r="7" spans="1:2" ht="18.75" x14ac:dyDescent="0.2">
      <c r="A7" s="66">
        <v>6</v>
      </c>
      <c r="B7" s="62" t="s">
        <v>125</v>
      </c>
    </row>
    <row r="8" spans="1:2" ht="18.75" x14ac:dyDescent="0.2">
      <c r="A8" s="66">
        <v>7</v>
      </c>
      <c r="B8" s="66" t="s">
        <v>129</v>
      </c>
    </row>
    <row r="9" spans="1:2" ht="18.75" x14ac:dyDescent="0.2">
      <c r="A9" s="66">
        <v>8</v>
      </c>
      <c r="B9" s="66" t="s">
        <v>127</v>
      </c>
    </row>
    <row r="10" spans="1:2" ht="18.75" x14ac:dyDescent="0.2">
      <c r="A10" s="66">
        <v>9</v>
      </c>
      <c r="B10" s="66" t="s">
        <v>128</v>
      </c>
    </row>
    <row r="11" spans="1:2" ht="18.75" x14ac:dyDescent="0.2">
      <c r="A11" s="66">
        <v>10</v>
      </c>
      <c r="B11" s="66" t="s">
        <v>130</v>
      </c>
    </row>
    <row r="12" spans="1:2" ht="18.75" x14ac:dyDescent="0.2">
      <c r="A12" s="66">
        <v>11</v>
      </c>
      <c r="B12" s="66" t="s">
        <v>131</v>
      </c>
    </row>
    <row r="13" spans="1:2" ht="18.75" x14ac:dyDescent="0.2">
      <c r="A13" s="66">
        <v>12</v>
      </c>
      <c r="B13" s="66" t="s">
        <v>133</v>
      </c>
    </row>
    <row r="14" spans="1:2" ht="18.75" x14ac:dyDescent="0.2">
      <c r="A14" s="66">
        <v>13</v>
      </c>
      <c r="B14" s="131"/>
    </row>
    <row r="15" spans="1:2" ht="18.75" x14ac:dyDescent="0.2">
      <c r="A15" s="66">
        <v>14</v>
      </c>
    </row>
    <row r="16" spans="1:2" ht="18.75" x14ac:dyDescent="0.2">
      <c r="A16" s="66">
        <v>15</v>
      </c>
    </row>
    <row r="17" spans="1:1" ht="18.75" x14ac:dyDescent="0.2">
      <c r="A17" s="66">
        <v>16</v>
      </c>
    </row>
    <row r="18" spans="1:1" ht="18.75" x14ac:dyDescent="0.2">
      <c r="A18" s="66">
        <v>17</v>
      </c>
    </row>
    <row r="19" spans="1:1" ht="18.75" x14ac:dyDescent="0.2">
      <c r="A19" s="66">
        <v>18</v>
      </c>
    </row>
    <row r="20" spans="1:1" ht="18.75" x14ac:dyDescent="0.2">
      <c r="A20" s="66">
        <v>19</v>
      </c>
    </row>
    <row r="21" spans="1:1" ht="18.75" x14ac:dyDescent="0.2">
      <c r="A21" s="66">
        <v>20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U109"/>
  <sheetViews>
    <sheetView tabSelected="1" view="pageBreakPreview" zoomScale="60" zoomScaleNormal="40" workbookViewId="0">
      <selection sqref="A1:U1"/>
    </sheetView>
  </sheetViews>
  <sheetFormatPr defaultColWidth="9.140625" defaultRowHeight="18.75" outlineLevelCol="1" x14ac:dyDescent="0.2"/>
  <cols>
    <col min="1" max="1" width="8.7109375" style="3" customWidth="1"/>
    <col min="2" max="3" width="11.85546875" style="11" customWidth="1"/>
    <col min="4" max="4" width="55.28515625" style="3" customWidth="1"/>
    <col min="5" max="5" width="31" style="68" customWidth="1"/>
    <col min="6" max="6" width="10.7109375" style="12" customWidth="1" outlineLevel="1"/>
    <col min="7" max="7" width="11.7109375" style="3" customWidth="1"/>
    <col min="8" max="8" width="14.140625" style="3" customWidth="1" outlineLevel="1"/>
    <col min="9" max="9" width="11" style="3" customWidth="1"/>
    <col min="10" max="10" width="10.85546875" style="10" customWidth="1"/>
    <col min="11" max="13" width="12.42578125" style="3" customWidth="1"/>
    <col min="14" max="14" width="10.42578125" style="3" customWidth="1"/>
    <col min="15" max="15" width="11" style="3" customWidth="1"/>
    <col min="16" max="17" width="12.42578125" style="3" customWidth="1"/>
    <col min="18" max="18" width="14.5703125" style="3" customWidth="1"/>
    <col min="19" max="19" width="10.7109375" style="3" customWidth="1"/>
    <col min="20" max="20" width="11.42578125" style="3" customWidth="1"/>
    <col min="21" max="21" width="9.5703125" style="3" customWidth="1"/>
    <col min="22" max="16384" width="9.140625" style="3"/>
  </cols>
  <sheetData>
    <row r="1" spans="1:21" s="1" customFormat="1" ht="67.5" customHeight="1" thickBot="1" x14ac:dyDescent="0.25">
      <c r="A1" s="213" t="s">
        <v>138</v>
      </c>
      <c r="B1" s="214"/>
      <c r="C1" s="214"/>
      <c r="D1" s="214"/>
      <c r="E1" s="214"/>
      <c r="F1" s="214"/>
      <c r="G1" s="214"/>
      <c r="H1" s="214"/>
      <c r="I1" s="214"/>
      <c r="J1" s="214"/>
      <c r="K1" s="214"/>
      <c r="L1" s="214"/>
      <c r="M1" s="214"/>
      <c r="N1" s="214"/>
      <c r="O1" s="214"/>
      <c r="P1" s="214"/>
      <c r="Q1" s="214"/>
      <c r="R1" s="214"/>
      <c r="S1" s="214"/>
      <c r="T1" s="214"/>
      <c r="U1" s="215"/>
    </row>
    <row r="2" spans="1:21" s="1" customFormat="1" ht="102" customHeight="1" x14ac:dyDescent="0.2">
      <c r="A2" s="201" t="s">
        <v>4</v>
      </c>
      <c r="B2" s="204" t="s">
        <v>109</v>
      </c>
      <c r="C2" s="210" t="s">
        <v>174</v>
      </c>
      <c r="D2" s="204" t="s">
        <v>2</v>
      </c>
      <c r="E2" s="207" t="s">
        <v>110</v>
      </c>
      <c r="F2" s="224" t="s">
        <v>111</v>
      </c>
      <c r="G2" s="225"/>
      <c r="H2" s="226" t="s">
        <v>112</v>
      </c>
      <c r="I2" s="227"/>
      <c r="J2" s="228" t="s">
        <v>113</v>
      </c>
      <c r="K2" s="229"/>
      <c r="L2" s="230" t="s">
        <v>114</v>
      </c>
      <c r="M2" s="231"/>
      <c r="N2" s="240" t="s">
        <v>120</v>
      </c>
      <c r="O2" s="241"/>
      <c r="P2" s="216" t="s">
        <v>118</v>
      </c>
      <c r="Q2" s="217"/>
      <c r="R2" s="220" t="s">
        <v>119</v>
      </c>
      <c r="S2" s="221"/>
      <c r="T2" s="244" t="s">
        <v>135</v>
      </c>
      <c r="U2" s="198" t="s">
        <v>142</v>
      </c>
    </row>
    <row r="3" spans="1:21" s="2" customFormat="1" ht="18.75" customHeight="1" x14ac:dyDescent="0.2">
      <c r="A3" s="202"/>
      <c r="B3" s="205"/>
      <c r="C3" s="211"/>
      <c r="D3" s="205"/>
      <c r="E3" s="208"/>
      <c r="F3" s="232" t="s">
        <v>0</v>
      </c>
      <c r="G3" s="233"/>
      <c r="H3" s="234" t="s">
        <v>1</v>
      </c>
      <c r="I3" s="235"/>
      <c r="J3" s="238">
        <v>3</v>
      </c>
      <c r="K3" s="239"/>
      <c r="L3" s="236" t="s">
        <v>7</v>
      </c>
      <c r="M3" s="237"/>
      <c r="N3" s="242" t="s">
        <v>115</v>
      </c>
      <c r="O3" s="243"/>
      <c r="P3" s="218" t="s">
        <v>116</v>
      </c>
      <c r="Q3" s="219"/>
      <c r="R3" s="222" t="s">
        <v>117</v>
      </c>
      <c r="S3" s="223"/>
      <c r="T3" s="245"/>
      <c r="U3" s="199"/>
    </row>
    <row r="4" spans="1:21" s="2" customFormat="1" ht="65.25" customHeight="1" thickBot="1" x14ac:dyDescent="0.25">
      <c r="A4" s="203"/>
      <c r="B4" s="206"/>
      <c r="C4" s="212"/>
      <c r="D4" s="206"/>
      <c r="E4" s="209"/>
      <c r="F4" s="181" t="s">
        <v>3</v>
      </c>
      <c r="G4" s="182" t="s">
        <v>6</v>
      </c>
      <c r="H4" s="183" t="s">
        <v>5</v>
      </c>
      <c r="I4" s="184" t="s">
        <v>6</v>
      </c>
      <c r="J4" s="185" t="s">
        <v>3</v>
      </c>
      <c r="K4" s="182" t="s">
        <v>6</v>
      </c>
      <c r="L4" s="186" t="s">
        <v>3</v>
      </c>
      <c r="M4" s="184" t="s">
        <v>6</v>
      </c>
      <c r="N4" s="185" t="s">
        <v>3</v>
      </c>
      <c r="O4" s="182" t="s">
        <v>6</v>
      </c>
      <c r="P4" s="186" t="s">
        <v>3</v>
      </c>
      <c r="Q4" s="184" t="s">
        <v>6</v>
      </c>
      <c r="R4" s="187" t="s">
        <v>5</v>
      </c>
      <c r="S4" s="182" t="s">
        <v>6</v>
      </c>
      <c r="T4" s="246"/>
      <c r="U4" s="200"/>
    </row>
    <row r="5" spans="1:21" ht="20.100000000000001" customHeight="1" x14ac:dyDescent="0.2">
      <c r="A5" s="132">
        <v>1</v>
      </c>
      <c r="B5" s="197"/>
      <c r="C5" s="197"/>
      <c r="D5" s="293" t="s">
        <v>153</v>
      </c>
      <c r="E5" s="133" t="s">
        <v>128</v>
      </c>
      <c r="F5" s="134">
        <v>21</v>
      </c>
      <c r="G5" s="135">
        <f>IF(F5="-",0,IFERROR(IFERROR(VLOOKUP(F5,Атлет!$B$5:$I$104,8,FALSE),(IF(F5&lt;1,0,IF(INT(F5)&gt;=25,100,"Введите целое число")))),"Введите целое число или '-'"))</f>
        <v>84</v>
      </c>
      <c r="H5" s="136">
        <v>3</v>
      </c>
      <c r="I5" s="137">
        <f t="array" ref="I5">IF(H5=0,0,IF(MIN(IF(Атлет!$C$5:$C$104&gt;=H5,Атлет!$C$5:$C$104))=0,0,VLOOKUP(MIN(IF(Атлет!$C$5:$C$104&gt;=H5,Атлет!$C$5:$C$104)),Атлет!$C$5:$I$104,7)))</f>
        <v>72</v>
      </c>
      <c r="J5" s="138"/>
      <c r="K5" s="139">
        <f>IF(J5="-",0,IFERROR(IFERROR(VLOOKUP(J5,Атлет!$D$5:$I$104,6,FALSE),(IF(J5&lt;1,0,IF(INT(J5)&gt;=40,100,"Введите целое число")))),"Введите целое число или '-'"))</f>
        <v>0</v>
      </c>
      <c r="L5" s="140"/>
      <c r="M5" s="137">
        <f>IF(L5="-",0,IFERROR(IFERROR(VLOOKUP(L5,Атлет!$E$5:$I$104,5,FALSE),(IF(L5&lt;1,0,IF(INT(L5)&gt;=30,100,"Введите целое число")))),"Введите целое число или '-'"))</f>
        <v>0</v>
      </c>
      <c r="N5" s="141"/>
      <c r="O5" s="139">
        <f>IF(N5="-",0,IFERROR(IFERROR(VLOOKUP(N5,Атлет!$F$5:$I$104,4,FALSE),(IF(N5&lt;1,0,IF(INT(N5)&gt;=90,100,"Введите целое число")))),"Введите целое число или '-'"))</f>
        <v>0</v>
      </c>
      <c r="P5" s="140"/>
      <c r="Q5" s="137">
        <f>IF(P5="-",0,IFERROR(IFERROR(VLOOKUP(P5,Атлет!$G$5:$I$104,3,FALSE),(IF(P5&lt;1,0,IF(INT(P5)&gt;=100,100,"Введите целое число")))),"Введите целое число или '-'"))</f>
        <v>0</v>
      </c>
      <c r="R5" s="142">
        <v>41.25</v>
      </c>
      <c r="S5" s="135">
        <f t="array" ref="S5">IF(R5=0,0,IF(MIN(IF(Атлет!$H$5:$H$104&gt;=R5,Атлет!$H$5:$H$104))=0,0,VLOOKUP(MIN(IF(Атлет!$H$5:$H$104&gt;=R5,Атлет!$H$5:$H$104)),Атлет!$H$5:$I$104,2)))</f>
        <v>61</v>
      </c>
      <c r="T5" s="143">
        <f>S5+Q5+O5+M5+K5+I5+G5</f>
        <v>217</v>
      </c>
      <c r="U5" s="144">
        <f>IF(T5&lt;=0, "", RANK(T5,$T$5:$T$104,0))</f>
        <v>1</v>
      </c>
    </row>
    <row r="6" spans="1:21" ht="20.100000000000001" customHeight="1" x14ac:dyDescent="0.2">
      <c r="A6" s="145">
        <v>2</v>
      </c>
      <c r="B6" s="146"/>
      <c r="C6" s="146"/>
      <c r="D6" s="147" t="s">
        <v>151</v>
      </c>
      <c r="E6" s="133" t="s">
        <v>173</v>
      </c>
      <c r="F6" s="148">
        <v>24</v>
      </c>
      <c r="G6" s="149">
        <f>IF(F6="-",0,IFERROR(IFERROR(VLOOKUP(F6,Атлет!$B$5:$I$104,8,FALSE),(IF(F6&lt;1,0,IF(INT(F6)&gt;=25,100,"Введите целое число")))),"Введите целое число или '-'"))</f>
        <v>96</v>
      </c>
      <c r="H6" s="136">
        <v>2.7530000000000001</v>
      </c>
      <c r="I6" s="151">
        <f t="array" ref="I6">IF(H6=0,0,IF(MIN(IF(Атлет!$C$5:$C$104&gt;=H6,Атлет!$C$5:$C$104))=0,0,VLOOKUP(MIN(IF(Атлет!$C$5:$C$104&gt;=H6,Атлет!$C$5:$C$104)),Атлет!$C$5:$I$104,7)))</f>
        <v>72</v>
      </c>
      <c r="J6" s="138"/>
      <c r="K6" s="153">
        <f>IF(J6="-",0,IFERROR(IFERROR(VLOOKUP(J6,Атлет!$D$5:$I$104,6,FALSE),(IF(J6&lt;1,0,IF(INT(J6)&gt;=40,100,"Введите целое число")))),"Введите целое число или '-'"))</f>
        <v>0</v>
      </c>
      <c r="L6" s="154"/>
      <c r="M6" s="151">
        <f>IF(L6="-",0,IFERROR(IFERROR(VLOOKUP(L6,Атлет!$E$5:$I$104,5,FALSE),(IF(L6&lt;1,0,IF(INT(L6)&gt;=30,100,"Введите целое число")))),"Введите целое число или '-'"))</f>
        <v>0</v>
      </c>
      <c r="N6" s="155"/>
      <c r="O6" s="153">
        <f>IF(N6="-",0,IFERROR(IFERROR(VLOOKUP(N6,Атлет!$F$5:$I$104,4,FALSE),(IF(N6&lt;1,0,IF(INT(N6)&gt;=90,100,"Введите целое число")))),"Введите целое число или '-'"))</f>
        <v>0</v>
      </c>
      <c r="P6" s="154"/>
      <c r="Q6" s="151">
        <f>IF(P6="-",0,IFERROR(IFERROR(VLOOKUP(P6,Атлет!$G$5:$I$104,3,FALSE),(IF(P6&lt;1,0,IF(INT(P6)&gt;=100,100,"Введите целое число")))),"Введите целое число или '-'"))</f>
        <v>0</v>
      </c>
      <c r="R6" s="156">
        <v>45</v>
      </c>
      <c r="S6" s="149">
        <f t="array" ref="S6">IF(R6=0,0,IF(MIN(IF(Атлет!$H$5:$H$104&gt;=R6,Атлет!$H$5:$H$104))=0,0,VLOOKUP(MIN(IF(Атлет!$H$5:$H$104&gt;=R6,Атлет!$H$5:$H$104)),Атлет!$H$5:$I$104,2)))</f>
        <v>40</v>
      </c>
      <c r="T6" s="157">
        <f>S6+Q6+O6+M6+K6+I6+G6</f>
        <v>208</v>
      </c>
      <c r="U6" s="144">
        <f>IF(T6&lt;=0, "", RANK(T6,$T$5:$T$104,0))</f>
        <v>2</v>
      </c>
    </row>
    <row r="7" spans="1:21" ht="20.100000000000001" customHeight="1" x14ac:dyDescent="0.3">
      <c r="A7" s="145">
        <v>3</v>
      </c>
      <c r="B7" s="159"/>
      <c r="C7" s="159"/>
      <c r="D7" s="160" t="s">
        <v>152</v>
      </c>
      <c r="E7" s="133" t="s">
        <v>128</v>
      </c>
      <c r="F7" s="148">
        <v>15</v>
      </c>
      <c r="G7" s="149">
        <f>IF(F7="-",0,IFERROR(IFERROR(VLOOKUP(F7,Атлет!$B$5:$I$104,8,FALSE),(IF(F7&lt;1,0,IF(INT(F7)&gt;=25,100,"Введите целое число")))),"Введите целое число или '-'"))</f>
        <v>60</v>
      </c>
      <c r="H7" s="136">
        <v>4.3</v>
      </c>
      <c r="I7" s="151">
        <f t="array" ref="I7">IF(H7=0,0,IF(MIN(IF(Атлет!$C$5:$C$104&gt;=H7,Атлет!$C$5:$C$104))=0,0,VLOOKUP(MIN(IF(Атлет!$C$5:$C$104&gt;=H7,Атлет!$C$5:$C$104)),Атлет!$C$5:$I$104,7)))</f>
        <v>30</v>
      </c>
      <c r="J7" s="138"/>
      <c r="K7" s="153">
        <f>IF(J7="-",0,IFERROR(IFERROR(VLOOKUP(J7,Атлет!$D$5:$I$104,6,FALSE),(IF(J7&lt;1,0,IF(INT(J7)&gt;=40,100,"Введите целое число")))),"Введите целое число или '-'"))</f>
        <v>0</v>
      </c>
      <c r="L7" s="140"/>
      <c r="M7" s="151">
        <f>IF(L7="-",0,IFERROR(IFERROR(VLOOKUP(L7,Атлет!$E$5:$I$104,5,FALSE),(IF(L7&lt;1,0,IF(INT(L7)&gt;=30,100,"Введите целое число")))),"Введите целое число или '-'"))</f>
        <v>0</v>
      </c>
      <c r="N7" s="141"/>
      <c r="O7" s="153">
        <f>IF(N7="-",0,IFERROR(IFERROR(VLOOKUP(N7,Атлет!$F$5:$I$104,4,FALSE),(IF(N7&lt;1,0,IF(INT(N7)&gt;=90,100,"Введите целое число")))),"Введите целое число или '-'"))</f>
        <v>0</v>
      </c>
      <c r="P7" s="140"/>
      <c r="Q7" s="151">
        <f>IF(P7="-",0,IFERROR(IFERROR(VLOOKUP(P7,Атлет!$G$5:$I$104,3,FALSE),(IF(P7&lt;1,0,IF(INT(P7)&gt;=100,100,"Введите целое число")))),"Введите целое число или '-'"))</f>
        <v>0</v>
      </c>
      <c r="R7" s="156">
        <v>44.29</v>
      </c>
      <c r="S7" s="149">
        <f t="array" ref="S7">IF(R7=0,0,IF(MIN(IF(Атлет!$H$5:$H$104&gt;=R7,Атлет!$H$5:$H$104))=0,0,VLOOKUP(MIN(IF(Атлет!$H$5:$H$104&gt;=R7,Атлет!$H$5:$H$104)),Атлет!$H$5:$I$104,2)))</f>
        <v>43</v>
      </c>
      <c r="T7" s="157">
        <f>S7+Q7+O7+M7+K7+I7+G7</f>
        <v>133</v>
      </c>
      <c r="U7" s="144">
        <f>IF(T7&lt;=0, "", RANK(T7,$T$5:$T$104,0))</f>
        <v>3</v>
      </c>
    </row>
    <row r="8" spans="1:21" ht="21" customHeight="1" x14ac:dyDescent="0.2">
      <c r="A8" s="132">
        <v>4</v>
      </c>
      <c r="B8" s="146"/>
      <c r="C8" s="146"/>
      <c r="D8" s="158" t="s">
        <v>154</v>
      </c>
      <c r="E8" s="133" t="s">
        <v>128</v>
      </c>
      <c r="F8" s="134">
        <v>12</v>
      </c>
      <c r="G8" s="149">
        <f>IF(F8="-",0,IFERROR(IFERROR(VLOOKUP(F8,Атлет!$B$5:$I$104,8,FALSE),(IF(F8&lt;1,0,IF(INT(F8)&gt;=25,100,"Введите целое число")))),"Введите целое число или '-'"))</f>
        <v>48</v>
      </c>
      <c r="H8" s="136">
        <v>5.15</v>
      </c>
      <c r="I8" s="151">
        <f t="array" ref="I8">IF(H8=0,0,IF(MIN(IF(Атлет!$C$5:$C$104&gt;=H8,Атлет!$C$5:$C$104))=0,0,VLOOKUP(MIN(IF(Атлет!$C$5:$C$104&gt;=H8,Атлет!$C$5:$C$104)),Атлет!$C$5:$I$104,7)))</f>
        <v>10</v>
      </c>
      <c r="J8" s="138"/>
      <c r="K8" s="153">
        <f>IF(J8="-",0,IFERROR(IFERROR(VLOOKUP(J8,Атлет!$D$5:$I$104,6,FALSE),(IF(J8&lt;1,0,IF(INT(J8)&gt;=40,100,"Введите целое число")))),"Введите целое число или '-'"))</f>
        <v>0</v>
      </c>
      <c r="L8" s="154"/>
      <c r="M8" s="151">
        <f>IF(L8="-",0,IFERROR(IFERROR(VLOOKUP(L8,Атлет!$E$5:$I$104,5,FALSE),(IF(L8&lt;1,0,IF(INT(L8)&gt;=30,100,"Введите целое число")))),"Введите целое число или '-'"))</f>
        <v>0</v>
      </c>
      <c r="N8" s="155"/>
      <c r="O8" s="153">
        <f>IF(N8="-",0,IFERROR(IFERROR(VLOOKUP(N8,Атлет!$F$5:$I$104,4,FALSE),(IF(N8&lt;1,0,IF(INT(N8)&gt;=90,100,"Введите целое число")))),"Введите целое число или '-'"))</f>
        <v>0</v>
      </c>
      <c r="P8" s="154"/>
      <c r="Q8" s="151">
        <f>IF(P8="-",0,IFERROR(IFERROR(VLOOKUP(P8,Атлет!$G$5:$I$104,3,FALSE),(IF(P8&lt;1,0,IF(INT(P8)&gt;=100,100,"Введите целое число")))),"Введите целое число или '-'"))</f>
        <v>0</v>
      </c>
      <c r="R8" s="142">
        <v>78.17</v>
      </c>
      <c r="S8" s="149">
        <f t="array" ref="S8">IF(R8=0,0,IF(MIN(IF(Атлет!$H$5:$H$104&gt;=R8,Атлет!$H$5:$H$104))=0,0,VLOOKUP(MIN(IF(Атлет!$H$5:$H$104&gt;=R8,Атлет!$H$5:$H$104)),Атлет!$H$5:$I$104,2)))</f>
        <v>0</v>
      </c>
      <c r="T8" s="157">
        <f>S8+Q8+O8+M8+K8+I8+G8</f>
        <v>58</v>
      </c>
      <c r="U8" s="144">
        <f>IF(T8&lt;=0, "", RANK(T8,$T$5:$T$104,0))</f>
        <v>4</v>
      </c>
    </row>
    <row r="9" spans="1:21" ht="20.100000000000001" customHeight="1" x14ac:dyDescent="0.2">
      <c r="A9" s="145">
        <v>5</v>
      </c>
      <c r="B9" s="146"/>
      <c r="C9" s="146"/>
      <c r="D9" s="158"/>
      <c r="E9" s="133" t="s">
        <v>130</v>
      </c>
      <c r="F9" s="148"/>
      <c r="G9" s="149">
        <f>IF(F9="-",0,IFERROR(IFERROR(VLOOKUP(F9,Атлет!$B$5:$I$104,8,FALSE),(IF(F9&lt;1,0,IF(INT(F9)&gt;=25,100,"Введите целое число")))),"Введите целое число или '-'"))</f>
        <v>0</v>
      </c>
      <c r="H9" s="136"/>
      <c r="I9" s="151">
        <f t="array" ref="I9">IF(H9=0,0,IF(MIN(IF(Атлет!$C$5:$C$104&gt;=H9,Атлет!$C$5:$C$104))=0,0,VLOOKUP(MIN(IF(Атлет!$C$5:$C$104&gt;=H9,Атлет!$C$5:$C$104)),Атлет!$C$5:$I$104,7)))</f>
        <v>0</v>
      </c>
      <c r="J9" s="138"/>
      <c r="K9" s="153">
        <f>IF(J9="-",0,IFERROR(IFERROR(VLOOKUP(J9,Атлет!$D$5:$I$104,6,FALSE),(IF(J9&lt;1,0,IF(INT(J9)&gt;=40,100,"Введите целое число")))),"Введите целое число или '-'"))</f>
        <v>0</v>
      </c>
      <c r="L9" s="140"/>
      <c r="M9" s="151">
        <f>IF(L9="-",0,IFERROR(IFERROR(VLOOKUP(L9,Атлет!$E$5:$I$104,5,FALSE),(IF(L9&lt;1,0,IF(INT(L9)&gt;=30,100,"Введите целое число")))),"Введите целое число или '-'"))</f>
        <v>0</v>
      </c>
      <c r="N9" s="141"/>
      <c r="O9" s="153">
        <f>IF(N9="-",0,IFERROR(IFERROR(VLOOKUP(N9,Атлет!$F$5:$I$104,4,FALSE),(IF(N9&lt;1,0,IF(INT(N9)&gt;=90,100,"Введите целое число")))),"Введите целое число или '-'"))</f>
        <v>0</v>
      </c>
      <c r="P9" s="140"/>
      <c r="Q9" s="151">
        <f>IF(P9="-",0,IFERROR(IFERROR(VLOOKUP(P9,Атлет!$G$5:$I$104,3,FALSE),(IF(P9&lt;1,0,IF(INT(P9)&gt;=100,100,"Введите целое число")))),"Введите целое число или '-'"))</f>
        <v>0</v>
      </c>
      <c r="R9" s="156"/>
      <c r="S9" s="149">
        <f t="array" ref="S9">IF(R9=0,0,IF(MIN(IF(Атлет!$H$5:$H$104&gt;=R9,Атлет!$H$5:$H$104))=0,0,VLOOKUP(MIN(IF(Атлет!$H$5:$H$104&gt;=R9,Атлет!$H$5:$H$104)),Атлет!$H$5:$I$104,2)))</f>
        <v>0</v>
      </c>
      <c r="T9" s="157">
        <f>S9+Q9+O9+M9+K9+I9+G9</f>
        <v>0</v>
      </c>
      <c r="U9" s="144" t="str">
        <f>IF(T9&lt;=0, "", RANK(T9,$T$5:$T$104,0))</f>
        <v/>
      </c>
    </row>
    <row r="10" spans="1:21" ht="20.100000000000001" customHeight="1" x14ac:dyDescent="0.2">
      <c r="A10" s="145">
        <v>6</v>
      </c>
      <c r="B10" s="159"/>
      <c r="C10" s="159"/>
      <c r="D10" s="158"/>
      <c r="E10" s="133" t="s">
        <v>130</v>
      </c>
      <c r="F10" s="148"/>
      <c r="G10" s="149">
        <f>IF(F10="-",0,IFERROR(IFERROR(VLOOKUP(F10,Атлет!$B$5:$I$104,8,FALSE),(IF(F10&lt;1,0,IF(INT(F10)&gt;=25,100,"Введите целое число")))),"Введите целое число или '-'"))</f>
        <v>0</v>
      </c>
      <c r="H10" s="136"/>
      <c r="I10" s="151">
        <f t="array" ref="I10">IF(H10=0,0,IF(MIN(IF(Атлет!$C$5:$C$104&gt;=H10,Атлет!$C$5:$C$104))=0,0,VLOOKUP(MIN(IF(Атлет!$C$5:$C$104&gt;=H10,Атлет!$C$5:$C$104)),Атлет!$C$5:$I$104,7)))</f>
        <v>0</v>
      </c>
      <c r="J10" s="138"/>
      <c r="K10" s="153">
        <f>IF(J10="-",0,IFERROR(IFERROR(VLOOKUP(J10,Атлет!$D$5:$I$104,6,FALSE),(IF(J10&lt;1,0,IF(INT(J10)&gt;=40,100,"Введите целое число")))),"Введите целое число или '-'"))</f>
        <v>0</v>
      </c>
      <c r="L10" s="154"/>
      <c r="M10" s="151">
        <f>IF(L10="-",0,IFERROR(IFERROR(VLOOKUP(L10,Атлет!$E$5:$I$104,5,FALSE),(IF(L10&lt;1,0,IF(INT(L10)&gt;=30,100,"Введите целое число")))),"Введите целое число или '-'"))</f>
        <v>0</v>
      </c>
      <c r="N10" s="155"/>
      <c r="O10" s="153">
        <f>IF(N10="-",0,IFERROR(IFERROR(VLOOKUP(N10,Атлет!$F$5:$I$104,4,FALSE),(IF(N10&lt;1,0,IF(INT(N10)&gt;=90,100,"Введите целое число")))),"Введите целое число или '-'"))</f>
        <v>0</v>
      </c>
      <c r="P10" s="154"/>
      <c r="Q10" s="151">
        <f>IF(P10="-",0,IFERROR(IFERROR(VLOOKUP(P10,Атлет!$G$5:$I$104,3,FALSE),(IF(P10&lt;1,0,IF(INT(P10)&gt;=100,100,"Введите целое число")))),"Введите целое число или '-'"))</f>
        <v>0</v>
      </c>
      <c r="R10" s="156"/>
      <c r="S10" s="149">
        <f t="array" ref="S10">IF(R10=0,0,IF(MIN(IF(Атлет!$H$5:$H$104&gt;=R10,Атлет!$H$5:$H$104))=0,0,VLOOKUP(MIN(IF(Атлет!$H$5:$H$104&gt;=R10,Атлет!$H$5:$H$104)),Атлет!$H$5:$I$104,2)))</f>
        <v>0</v>
      </c>
      <c r="T10" s="157">
        <f>S10+Q10+O10+M10+K10+I10+G10</f>
        <v>0</v>
      </c>
      <c r="U10" s="144" t="str">
        <f>IF(T10&lt;=0, "", RANK(T10,$T$5:$T$104,0))</f>
        <v/>
      </c>
    </row>
    <row r="11" spans="1:21" ht="20.100000000000001" customHeight="1" x14ac:dyDescent="0.2">
      <c r="A11" s="132">
        <v>7</v>
      </c>
      <c r="B11" s="146"/>
      <c r="C11" s="146"/>
      <c r="D11" s="158"/>
      <c r="E11" s="133" t="s">
        <v>130</v>
      </c>
      <c r="F11" s="134"/>
      <c r="G11" s="149">
        <f>IF(F11="-",0,IFERROR(IFERROR(VLOOKUP(F11,Атлет!$B$5:$I$104,8,FALSE),(IF(F11&lt;1,0,IF(INT(F11)&gt;=25,100,"Введите целое число")))),"Введите целое число или '-'"))</f>
        <v>0</v>
      </c>
      <c r="H11" s="136"/>
      <c r="I11" s="151">
        <f t="array" ref="I11">IF(H11=0,0,IF(MIN(IF(Атлет!$C$5:$C$104&gt;=H11,Атлет!$C$5:$C$104))=0,0,VLOOKUP(MIN(IF(Атлет!$C$5:$C$104&gt;=H11,Атлет!$C$5:$C$104)),Атлет!$C$5:$I$104,7)))</f>
        <v>0</v>
      </c>
      <c r="J11" s="138"/>
      <c r="K11" s="153">
        <f>IF(J11="-",0,IFERROR(IFERROR(VLOOKUP(J11,Атлет!$D$5:$I$104,6,FALSE),(IF(J11&lt;1,0,IF(INT(J11)&gt;=40,100,"Введите целое число")))),"Введите целое число или '-'"))</f>
        <v>0</v>
      </c>
      <c r="L11" s="140"/>
      <c r="M11" s="151">
        <f>IF(L11="-",0,IFERROR(IFERROR(VLOOKUP(L11,Атлет!$E$5:$I$104,5,FALSE),(IF(L11&lt;1,0,IF(INT(L11)&gt;=30,100,"Введите целое число")))),"Введите целое число или '-'"))</f>
        <v>0</v>
      </c>
      <c r="N11" s="141"/>
      <c r="O11" s="153">
        <f>IF(N11="-",0,IFERROR(IFERROR(VLOOKUP(N11,Атлет!$F$5:$I$104,4,FALSE),(IF(N11&lt;1,0,IF(INT(N11)&gt;=90,100,"Введите целое число")))),"Введите целое число или '-'"))</f>
        <v>0</v>
      </c>
      <c r="P11" s="140"/>
      <c r="Q11" s="151">
        <f>IF(P11="-",0,IFERROR(IFERROR(VLOOKUP(P11,Атлет!$G$5:$I$104,3,FALSE),(IF(P11&lt;1,0,IF(INT(P11)&gt;=100,100,"Введите целое число")))),"Введите целое число или '-'"))</f>
        <v>0</v>
      </c>
      <c r="R11" s="142"/>
      <c r="S11" s="149">
        <f t="array" ref="S11">IF(R11=0,0,IF(MIN(IF(Атлет!$H$5:$H$104&gt;=R11,Атлет!$H$5:$H$104))=0,0,VLOOKUP(MIN(IF(Атлет!$H$5:$H$104&gt;=R11,Атлет!$H$5:$H$104)),Атлет!$H$5:$I$104,2)))</f>
        <v>0</v>
      </c>
      <c r="T11" s="157">
        <f>S11+Q11+O11+M11+K11+I11+G11</f>
        <v>0</v>
      </c>
      <c r="U11" s="144" t="str">
        <f>IF(T11&lt;=0, "", RANK(T11,$T$5:$T$104,0))</f>
        <v/>
      </c>
    </row>
    <row r="12" spans="1:21" ht="20.100000000000001" customHeight="1" x14ac:dyDescent="0.3">
      <c r="A12" s="145">
        <v>8</v>
      </c>
      <c r="B12" s="159"/>
      <c r="C12" s="159"/>
      <c r="D12" s="160"/>
      <c r="E12" s="133" t="s">
        <v>130</v>
      </c>
      <c r="F12" s="148"/>
      <c r="G12" s="149">
        <f>IF(F12="-",0,IFERROR(IFERROR(VLOOKUP(F12,Атлет!$B$5:$I$104,8,FALSE),(IF(F12&lt;1,0,IF(INT(F12)&gt;=25,100,"Введите целое число")))),"Введите целое число или '-'"))</f>
        <v>0</v>
      </c>
      <c r="H12" s="136"/>
      <c r="I12" s="151">
        <f t="array" ref="I12">IF(H12=0,0,IF(MIN(IF(Атлет!$C$5:$C$104&gt;=H12,Атлет!$C$5:$C$104))=0,0,VLOOKUP(MIN(IF(Атлет!$C$5:$C$104&gt;=H12,Атлет!$C$5:$C$104)),Атлет!$C$5:$I$104,7)))</f>
        <v>0</v>
      </c>
      <c r="J12" s="138"/>
      <c r="K12" s="153">
        <f>IF(J12="-",0,IFERROR(IFERROR(VLOOKUP(J12,Атлет!$D$5:$I$104,6,FALSE),(IF(J12&lt;1,0,IF(INT(J12)&gt;=40,100,"Введите целое число")))),"Введите целое число или '-'"))</f>
        <v>0</v>
      </c>
      <c r="L12" s="154"/>
      <c r="M12" s="151">
        <f>IF(L12="-",0,IFERROR(IFERROR(VLOOKUP(L12,Атлет!$E$5:$I$104,5,FALSE),(IF(L12&lt;1,0,IF(INT(L12)&gt;=30,100,"Введите целое число")))),"Введите целое число или '-'"))</f>
        <v>0</v>
      </c>
      <c r="N12" s="155"/>
      <c r="O12" s="153">
        <f>IF(N12="-",0,IFERROR(IFERROR(VLOOKUP(N12,Атлет!$F$5:$I$104,4,FALSE),(IF(N12&lt;1,0,IF(INT(N12)&gt;=90,100,"Введите целое число")))),"Введите целое число или '-'"))</f>
        <v>0</v>
      </c>
      <c r="P12" s="154"/>
      <c r="Q12" s="151">
        <f>IF(P12="-",0,IFERROR(IFERROR(VLOOKUP(P12,Атлет!$G$5:$I$104,3,FALSE),(IF(P12&lt;1,0,IF(INT(P12)&gt;=100,100,"Введите целое число")))),"Введите целое число или '-'"))</f>
        <v>0</v>
      </c>
      <c r="R12" s="156"/>
      <c r="S12" s="149">
        <f t="array" ref="S12">IF(R12=0,0,IF(MIN(IF(Атлет!$H$5:$H$104&gt;=R12,Атлет!$H$5:$H$104))=0,0,VLOOKUP(MIN(IF(Атлет!$H$5:$H$104&gt;=R12,Атлет!$H$5:$H$104)),Атлет!$H$5:$I$104,2)))</f>
        <v>0</v>
      </c>
      <c r="T12" s="157">
        <f>S12+Q12+O12+M12+K12+I12+G12</f>
        <v>0</v>
      </c>
      <c r="U12" s="144" t="str">
        <f>IF(T12&lt;=0, "", RANK(T12,$T$5:$T$104,0))</f>
        <v/>
      </c>
    </row>
    <row r="13" spans="1:21" ht="20.100000000000001" customHeight="1" x14ac:dyDescent="0.3">
      <c r="A13" s="145">
        <v>9</v>
      </c>
      <c r="B13" s="159"/>
      <c r="C13" s="146"/>
      <c r="D13" s="160"/>
      <c r="E13" s="133" t="s">
        <v>130</v>
      </c>
      <c r="F13" s="148"/>
      <c r="G13" s="149">
        <f>IF(F13="-",0,IFERROR(IFERROR(VLOOKUP(F13,Атлет!$B$5:$I$104,8,FALSE),(IF(F13&lt;1,0,IF(INT(F13)&gt;=25,100,"Введите целое число")))),"Введите целое число или '-'"))</f>
        <v>0</v>
      </c>
      <c r="H13" s="136"/>
      <c r="I13" s="151">
        <f t="array" ref="I13">IF(H13=0,0,IF(MIN(IF(Атлет!$C$5:$C$104&gt;=H13,Атлет!$C$5:$C$104))=0,0,VLOOKUP(MIN(IF(Атлет!$C$5:$C$104&gt;=H13,Атлет!$C$5:$C$104)),Атлет!$C$5:$I$104,7)))</f>
        <v>0</v>
      </c>
      <c r="J13" s="138"/>
      <c r="K13" s="153">
        <f>IF(J13="-",0,IFERROR(IFERROR(VLOOKUP(J13,Атлет!$D$5:$I$104,6,FALSE),(IF(J13&lt;1,0,IF(INT(J13)&gt;=40,100,"Введите целое число")))),"Введите целое число или '-'"))</f>
        <v>0</v>
      </c>
      <c r="L13" s="140"/>
      <c r="M13" s="151">
        <f>IF(L13="-",0,IFERROR(IFERROR(VLOOKUP(L13,Атлет!$E$5:$I$104,5,FALSE),(IF(L13&lt;1,0,IF(INT(L13)&gt;=30,100,"Введите целое число")))),"Введите целое число или '-'"))</f>
        <v>0</v>
      </c>
      <c r="N13" s="141"/>
      <c r="O13" s="153">
        <f>IF(N13="-",0,IFERROR(IFERROR(VLOOKUP(N13,Атлет!$F$5:$I$104,4,FALSE),(IF(N13&lt;1,0,IF(INT(N13)&gt;=90,100,"Введите целое число")))),"Введите целое число или '-'"))</f>
        <v>0</v>
      </c>
      <c r="P13" s="140"/>
      <c r="Q13" s="151">
        <f>IF(P13="-",0,IFERROR(IFERROR(VLOOKUP(P13,Атлет!$G$5:$I$104,3,FALSE),(IF(P13&lt;1,0,IF(INT(P13)&gt;=100,100,"Введите целое число")))),"Введите целое число или '-'"))</f>
        <v>0</v>
      </c>
      <c r="R13" s="156"/>
      <c r="S13" s="149">
        <f t="array" ref="S13">IF(R13=0,0,IF(MIN(IF(Атлет!$H$5:$H$104&gt;=R13,Атлет!$H$5:$H$104))=0,0,VLOOKUP(MIN(IF(Атлет!$H$5:$H$104&gt;=R13,Атлет!$H$5:$H$104)),Атлет!$H$5:$I$104,2)))</f>
        <v>0</v>
      </c>
      <c r="T13" s="157">
        <f>S13+Q13+O13+M13+K13+I13+G13</f>
        <v>0</v>
      </c>
      <c r="U13" s="144" t="str">
        <f>IF(T13&lt;=0, "", RANK(T13,$T$5:$T$104,0))</f>
        <v/>
      </c>
    </row>
    <row r="14" spans="1:21" ht="19.5" customHeight="1" x14ac:dyDescent="0.3">
      <c r="A14" s="132">
        <v>10</v>
      </c>
      <c r="B14" s="159"/>
      <c r="C14" s="146"/>
      <c r="D14" s="160"/>
      <c r="E14" s="133" t="s">
        <v>121</v>
      </c>
      <c r="F14" s="134"/>
      <c r="G14" s="149">
        <f>IF(F14="-",0,IFERROR(IFERROR(VLOOKUP(F14,Атлет!$B$5:$I$104,8,FALSE),(IF(F14&lt;1,0,IF(INT(F14)&gt;=25,100,"Введите целое число")))),"Введите целое число или '-'"))</f>
        <v>0</v>
      </c>
      <c r="H14" s="136"/>
      <c r="I14" s="151">
        <f t="array" ref="I14">IF(H14=0,0,IF(MIN(IF(Атлет!$C$5:$C$104&gt;=H14,Атлет!$C$5:$C$104))=0,0,VLOOKUP(MIN(IF(Атлет!$C$5:$C$104&gt;=H14,Атлет!$C$5:$C$104)),Атлет!$C$5:$I$104,7)))</f>
        <v>0</v>
      </c>
      <c r="J14" s="138"/>
      <c r="K14" s="153">
        <f>IF(J14="-",0,IFERROR(IFERROR(VLOOKUP(J14,Атлет!$D$5:$I$104,6,FALSE),(IF(J14&lt;1,0,IF(INT(J14)&gt;=40,100,"Введите целое число")))),"Введите целое число или '-'"))</f>
        <v>0</v>
      </c>
      <c r="L14" s="154"/>
      <c r="M14" s="151">
        <f>IF(L14="-",0,IFERROR(IFERROR(VLOOKUP(L14,Атлет!$E$5:$I$104,5,FALSE),(IF(L14&lt;1,0,IF(INT(L14)&gt;=30,100,"Введите целое число")))),"Введите целое число или '-'"))</f>
        <v>0</v>
      </c>
      <c r="N14" s="155"/>
      <c r="O14" s="153">
        <f>IF(N14="-",0,IFERROR(IFERROR(VLOOKUP(N14,Атлет!$F$5:$I$104,4,FALSE),(IF(N14&lt;1,0,IF(INT(N14)&gt;=90,100,"Введите целое число")))),"Введите целое число или '-'"))</f>
        <v>0</v>
      </c>
      <c r="P14" s="154"/>
      <c r="Q14" s="151">
        <f>IF(P14="-",0,IFERROR(IFERROR(VLOOKUP(P14,Атлет!$G$5:$I$104,3,FALSE),(IF(P14&lt;1,0,IF(INT(P14)&gt;=100,100,"Введите целое число")))),"Введите целое число или '-'"))</f>
        <v>0</v>
      </c>
      <c r="R14" s="142"/>
      <c r="S14" s="149">
        <f t="array" ref="S14">IF(R14=0,0,IF(MIN(IF(Атлет!$H$5:$H$104&gt;=R14,Атлет!$H$5:$H$104))=0,0,VLOOKUP(MIN(IF(Атлет!$H$5:$H$104&gt;=R14,Атлет!$H$5:$H$104)),Атлет!$H$5:$I$104,2)))</f>
        <v>0</v>
      </c>
      <c r="T14" s="157">
        <f>S14+Q14+O14+M14+K14+I14+G14</f>
        <v>0</v>
      </c>
      <c r="U14" s="144" t="str">
        <f>IF(T14&lt;=0, "", RANK(T14,$T$5:$T$104,0))</f>
        <v/>
      </c>
    </row>
    <row r="15" spans="1:21" ht="20.100000000000001" customHeight="1" x14ac:dyDescent="0.2">
      <c r="A15" s="145">
        <v>11</v>
      </c>
      <c r="B15" s="159"/>
      <c r="C15" s="146"/>
      <c r="D15" s="158"/>
      <c r="E15" s="133" t="s">
        <v>121</v>
      </c>
      <c r="F15" s="148"/>
      <c r="G15" s="149">
        <f>IF(F15="-",0,IFERROR(IFERROR(VLOOKUP(F15,Атлет!$B$5:$I$104,8,FALSE),(IF(F15&lt;1,0,IF(INT(F15)&gt;=25,100,"Введите целое число")))),"Введите целое число или '-'"))</f>
        <v>0</v>
      </c>
      <c r="H15" s="136"/>
      <c r="I15" s="151">
        <f t="array" ref="I15">IF(H15=0,0,IF(MIN(IF(Атлет!$C$5:$C$104&gt;=H15,Атлет!$C$5:$C$104))=0,0,VLOOKUP(MIN(IF(Атлет!$C$5:$C$104&gt;=H15,Атлет!$C$5:$C$104)),Атлет!$C$5:$I$104,7)))</f>
        <v>0</v>
      </c>
      <c r="J15" s="138"/>
      <c r="K15" s="153">
        <f>IF(J15="-",0,IFERROR(IFERROR(VLOOKUP(J15,Атлет!$D$5:$I$104,6,FALSE),(IF(J15&lt;1,0,IF(INT(J15)&gt;=40,100,"Введите целое число")))),"Введите целое число или '-'"))</f>
        <v>0</v>
      </c>
      <c r="L15" s="140"/>
      <c r="M15" s="151">
        <f>IF(L15="-",0,IFERROR(IFERROR(VLOOKUP(L15,Атлет!$E$5:$I$104,5,FALSE),(IF(L15&lt;1,0,IF(INT(L15)&gt;=30,100,"Введите целое число")))),"Введите целое число или '-'"))</f>
        <v>0</v>
      </c>
      <c r="N15" s="141"/>
      <c r="O15" s="153">
        <f>IF(N15="-",0,IFERROR(IFERROR(VLOOKUP(N15,Атлет!$F$5:$I$104,4,FALSE),(IF(N15&lt;1,0,IF(INT(N15)&gt;=90,100,"Введите целое число")))),"Введите целое число или '-'"))</f>
        <v>0</v>
      </c>
      <c r="P15" s="140"/>
      <c r="Q15" s="151">
        <f>IF(P15="-",0,IFERROR(IFERROR(VLOOKUP(P15,Атлет!$G$5:$I$104,3,FALSE),(IF(P15&lt;1,0,IF(INT(P15)&gt;=100,100,"Введите целое число")))),"Введите целое число или '-'"))</f>
        <v>0</v>
      </c>
      <c r="R15" s="156"/>
      <c r="S15" s="149">
        <f t="array" ref="S15">IF(R15=0,0,IF(MIN(IF(Атлет!$H$5:$H$104&gt;=R15,Атлет!$H$5:$H$104))=0,0,VLOOKUP(MIN(IF(Атлет!$H$5:$H$104&gt;=R15,Атлет!$H$5:$H$104)),Атлет!$H$5:$I$104,2)))</f>
        <v>0</v>
      </c>
      <c r="T15" s="157">
        <f>S15+Q15+O15+M15+K15+I15+G15</f>
        <v>0</v>
      </c>
      <c r="U15" s="144" t="str">
        <f>IF(T15&lt;=0, "", RANK(T15,$T$5:$T$104,0))</f>
        <v/>
      </c>
    </row>
    <row r="16" spans="1:21" ht="20.100000000000001" customHeight="1" x14ac:dyDescent="0.3">
      <c r="A16" s="145">
        <v>12</v>
      </c>
      <c r="B16" s="146"/>
      <c r="C16" s="159"/>
      <c r="D16" s="160"/>
      <c r="E16" s="133" t="s">
        <v>121</v>
      </c>
      <c r="F16" s="148"/>
      <c r="G16" s="149">
        <f>IF(F16="-",0,IFERROR(IFERROR(VLOOKUP(F16,Атлет!$B$5:$I$104,8,FALSE),(IF(F16&lt;1,0,IF(INT(F16)&gt;=25,100,"Введите целое число")))),"Введите целое число или '-'"))</f>
        <v>0</v>
      </c>
      <c r="H16" s="136"/>
      <c r="I16" s="151">
        <f t="array" ref="I16">IF(H16=0,0,IF(MIN(IF(Атлет!$C$5:$C$104&gt;=H16,Атлет!$C$5:$C$104))=0,0,VLOOKUP(MIN(IF(Атлет!$C$5:$C$104&gt;=H16,Атлет!$C$5:$C$104)),Атлет!$C$5:$I$104,7)))</f>
        <v>0</v>
      </c>
      <c r="J16" s="138"/>
      <c r="K16" s="153">
        <f>IF(J16="-",0,IFERROR(IFERROR(VLOOKUP(J16,Атлет!$D$5:$I$104,6,FALSE),(IF(J16&lt;1,0,IF(INT(J16)&gt;=40,100,"Введите целое число")))),"Введите целое число или '-'"))</f>
        <v>0</v>
      </c>
      <c r="L16" s="154"/>
      <c r="M16" s="151">
        <f>IF(L16="-",0,IFERROR(IFERROR(VLOOKUP(L16,Атлет!$E$5:$I$104,5,FALSE),(IF(L16&lt;1,0,IF(INT(L16)&gt;=30,100,"Введите целое число")))),"Введите целое число или '-'"))</f>
        <v>0</v>
      </c>
      <c r="N16" s="155"/>
      <c r="O16" s="153">
        <f>IF(N16="-",0,IFERROR(IFERROR(VLOOKUP(N16,Атлет!$F$5:$I$104,4,FALSE),(IF(N16&lt;1,0,IF(INT(N16)&gt;=90,100,"Введите целое число")))),"Введите целое число или '-'"))</f>
        <v>0</v>
      </c>
      <c r="P16" s="154"/>
      <c r="Q16" s="151">
        <f>IF(P16="-",0,IFERROR(IFERROR(VLOOKUP(P16,Атлет!$G$5:$I$104,3,FALSE),(IF(P16&lt;1,0,IF(INT(P16)&gt;=100,100,"Введите целое число")))),"Введите целое число или '-'"))</f>
        <v>0</v>
      </c>
      <c r="R16" s="156"/>
      <c r="S16" s="149">
        <f t="array" ref="S16">IF(R16=0,0,IF(MIN(IF(Атлет!$H$5:$H$104&gt;=R16,Атлет!$H$5:$H$104))=0,0,VLOOKUP(MIN(IF(Атлет!$H$5:$H$104&gt;=R16,Атлет!$H$5:$H$104)),Атлет!$H$5:$I$104,2)))</f>
        <v>0</v>
      </c>
      <c r="T16" s="157">
        <f>S16+Q16+O16+M16+K16+I16+G16</f>
        <v>0</v>
      </c>
      <c r="U16" s="144" t="str">
        <f>IF(T16&lt;=0, "", RANK(T16,$T$5:$T$104,0))</f>
        <v/>
      </c>
    </row>
    <row r="17" spans="1:21" ht="20.100000000000001" customHeight="1" x14ac:dyDescent="0.3">
      <c r="A17" s="132">
        <v>13</v>
      </c>
      <c r="B17" s="146"/>
      <c r="C17" s="146"/>
      <c r="D17" s="160"/>
      <c r="E17" s="133" t="s">
        <v>121</v>
      </c>
      <c r="F17" s="134"/>
      <c r="G17" s="149">
        <f>IF(F17="-",0,IFERROR(IFERROR(VLOOKUP(F17,Атлет!$B$5:$I$104,8,FALSE),(IF(F17&lt;1,0,IF(INT(F17)&gt;=25,100,"Введите целое число")))),"Введите целое число или '-'"))</f>
        <v>0</v>
      </c>
      <c r="H17" s="136"/>
      <c r="I17" s="151">
        <f t="array" ref="I17">IF(H17=0,0,IF(MIN(IF(Атлет!$C$5:$C$104&gt;=H17,Атлет!$C$5:$C$104))=0,0,VLOOKUP(MIN(IF(Атлет!$C$5:$C$104&gt;=H17,Атлет!$C$5:$C$104)),Атлет!$C$5:$I$104,7)))</f>
        <v>0</v>
      </c>
      <c r="J17" s="138"/>
      <c r="K17" s="153">
        <f>IF(J17="-",0,IFERROR(IFERROR(VLOOKUP(J17,Атлет!$D$5:$I$104,6,FALSE),(IF(J17&lt;1,0,IF(INT(J17)&gt;=40,100,"Введите целое число")))),"Введите целое число или '-'"))</f>
        <v>0</v>
      </c>
      <c r="L17" s="140"/>
      <c r="M17" s="151">
        <f>IF(L17="-",0,IFERROR(IFERROR(VLOOKUP(L17,Атлет!$E$5:$I$104,5,FALSE),(IF(L17&lt;1,0,IF(INT(L17)&gt;=30,100,"Введите целое число")))),"Введите целое число или '-'"))</f>
        <v>0</v>
      </c>
      <c r="N17" s="141"/>
      <c r="O17" s="153">
        <f>IF(N17="-",0,IFERROR(IFERROR(VLOOKUP(N17,Атлет!$F$5:$I$104,4,FALSE),(IF(N17&lt;1,0,IF(INT(N17)&gt;=90,100,"Введите целое число")))),"Введите целое число или '-'"))</f>
        <v>0</v>
      </c>
      <c r="P17" s="140"/>
      <c r="Q17" s="151">
        <f>IF(P17="-",0,IFERROR(IFERROR(VLOOKUP(P17,Атлет!$G$5:$I$104,3,FALSE),(IF(P17&lt;1,0,IF(INT(P17)&gt;=100,100,"Введите целое число")))),"Введите целое число или '-'"))</f>
        <v>0</v>
      </c>
      <c r="R17" s="142"/>
      <c r="S17" s="149">
        <f t="array" ref="S17">IF(R17=0,0,IF(MIN(IF(Атлет!$H$5:$H$104&gt;=R17,Атлет!$H$5:$H$104))=0,0,VLOOKUP(MIN(IF(Атлет!$H$5:$H$104&gt;=R17,Атлет!$H$5:$H$104)),Атлет!$H$5:$I$104,2)))</f>
        <v>0</v>
      </c>
      <c r="T17" s="157">
        <f>S17+Q17+O17+M17+K17+I17+G17</f>
        <v>0</v>
      </c>
      <c r="U17" s="144" t="str">
        <f>IF(T17&lt;=0, "", RANK(T17,$T$5:$T$104,0))</f>
        <v/>
      </c>
    </row>
    <row r="18" spans="1:21" ht="20.100000000000001" customHeight="1" x14ac:dyDescent="0.3">
      <c r="A18" s="145">
        <v>14</v>
      </c>
      <c r="B18" s="146"/>
      <c r="C18" s="146"/>
      <c r="D18" s="160"/>
      <c r="E18" s="133" t="s">
        <v>121</v>
      </c>
      <c r="F18" s="148"/>
      <c r="G18" s="149">
        <f>IF(F18="-",0,IFERROR(IFERROR(VLOOKUP(F18,Атлет!$B$5:$I$104,8,FALSE),(IF(F18&lt;1,0,IF(INT(F18)&gt;=25,100,"Введите целое число")))),"Введите целое число или '-'"))</f>
        <v>0</v>
      </c>
      <c r="H18" s="136"/>
      <c r="I18" s="151">
        <f t="array" ref="I18">IF(H18=0,0,IF(MIN(IF(Атлет!$C$5:$C$104&gt;=H18,Атлет!$C$5:$C$104))=0,0,VLOOKUP(MIN(IF(Атлет!$C$5:$C$104&gt;=H18,Атлет!$C$5:$C$104)),Атлет!$C$5:$I$104,7)))</f>
        <v>0</v>
      </c>
      <c r="J18" s="138"/>
      <c r="K18" s="153">
        <f>IF(J18="-",0,IFERROR(IFERROR(VLOOKUP(J18,Атлет!$D$5:$I$104,6,FALSE),(IF(J18&lt;1,0,IF(INT(J18)&gt;=40,100,"Введите целое число")))),"Введите целое число или '-'"))</f>
        <v>0</v>
      </c>
      <c r="L18" s="154"/>
      <c r="M18" s="151">
        <f>IF(L18="-",0,IFERROR(IFERROR(VLOOKUP(L18,Атлет!$E$5:$I$104,5,FALSE),(IF(L18&lt;1,0,IF(INT(L18)&gt;=30,100,"Введите целое число")))),"Введите целое число или '-'"))</f>
        <v>0</v>
      </c>
      <c r="N18" s="155"/>
      <c r="O18" s="153">
        <f>IF(N18="-",0,IFERROR(IFERROR(VLOOKUP(N18,Атлет!$F$5:$I$104,4,FALSE),(IF(N18&lt;1,0,IF(INT(N18)&gt;=90,100,"Введите целое число")))),"Введите целое число или '-'"))</f>
        <v>0</v>
      </c>
      <c r="P18" s="154"/>
      <c r="Q18" s="151">
        <f>IF(P18="-",0,IFERROR(IFERROR(VLOOKUP(P18,Атлет!$G$5:$I$104,3,FALSE),(IF(P18&lt;1,0,IF(INT(P18)&gt;=100,100,"Введите целое число")))),"Введите целое число или '-'"))</f>
        <v>0</v>
      </c>
      <c r="R18" s="156"/>
      <c r="S18" s="149">
        <f t="array" ref="S18">IF(R18=0,0,IF(MIN(IF(Атлет!$H$5:$H$104&gt;=R18,Атлет!$H$5:$H$104))=0,0,VLOOKUP(MIN(IF(Атлет!$H$5:$H$104&gt;=R18,Атлет!$H$5:$H$104)),Атлет!$H$5:$I$104,2)))</f>
        <v>0</v>
      </c>
      <c r="T18" s="157">
        <f>S18+Q18+O18+M18+K18+I18+G18</f>
        <v>0</v>
      </c>
      <c r="U18" s="144" t="str">
        <f>IF(T18&lt;=0, "", RANK(T18,$T$5:$T$104,0))</f>
        <v/>
      </c>
    </row>
    <row r="19" spans="1:21" ht="20.100000000000001" customHeight="1" x14ac:dyDescent="0.3">
      <c r="A19" s="145">
        <v>15</v>
      </c>
      <c r="B19" s="159"/>
      <c r="C19" s="159"/>
      <c r="D19" s="160"/>
      <c r="E19" s="133" t="s">
        <v>129</v>
      </c>
      <c r="F19" s="148"/>
      <c r="G19" s="149">
        <f>IF(F19="-",0,IFERROR(IFERROR(VLOOKUP(F19,Атлет!$B$5:$I$104,8,FALSE),(IF(F19&lt;1,0,IF(INT(F19)&gt;=25,100,"Введите целое число")))),"Введите целое число или '-'"))</f>
        <v>0</v>
      </c>
      <c r="H19" s="136"/>
      <c r="I19" s="151">
        <f t="array" ref="I19">IF(H19=0,0,IF(MIN(IF(Атлет!$C$5:$C$104&gt;=H19,Атлет!$C$5:$C$104))=0,0,VLOOKUP(MIN(IF(Атлет!$C$5:$C$104&gt;=H19,Атлет!$C$5:$C$104)),Атлет!$C$5:$I$104,7)))</f>
        <v>0</v>
      </c>
      <c r="J19" s="138"/>
      <c r="K19" s="153">
        <f>IF(J19="-",0,IFERROR(IFERROR(VLOOKUP(J19,Атлет!$D$5:$I$104,6,FALSE),(IF(J19&lt;1,0,IF(INT(J19)&gt;=40,100,"Введите целое число")))),"Введите целое число или '-'"))</f>
        <v>0</v>
      </c>
      <c r="L19" s="140"/>
      <c r="M19" s="151">
        <f>IF(L19="-",0,IFERROR(IFERROR(VLOOKUP(L19,Атлет!$E$5:$I$104,5,FALSE),(IF(L19&lt;1,0,IF(INT(L19)&gt;=30,100,"Введите целое число")))),"Введите целое число или '-'"))</f>
        <v>0</v>
      </c>
      <c r="N19" s="141"/>
      <c r="O19" s="153">
        <f>IF(N19="-",0,IFERROR(IFERROR(VLOOKUP(N19,Атлет!$F$5:$I$104,4,FALSE),(IF(N19&lt;1,0,IF(INT(N19)&gt;=90,100,"Введите целое число")))),"Введите целое число или '-'"))</f>
        <v>0</v>
      </c>
      <c r="P19" s="140"/>
      <c r="Q19" s="151">
        <f>IF(P19="-",0,IFERROR(IFERROR(VLOOKUP(P19,Атлет!$G$5:$I$104,3,FALSE),(IF(P19&lt;1,0,IF(INT(P19)&gt;=100,100,"Введите целое число")))),"Введите целое число или '-'"))</f>
        <v>0</v>
      </c>
      <c r="R19" s="156"/>
      <c r="S19" s="149">
        <f t="array" ref="S19">IF(R19=0,0,IF(MIN(IF(Атлет!$H$5:$H$104&gt;=R19,Атлет!$H$5:$H$104))=0,0,VLOOKUP(MIN(IF(Атлет!$H$5:$H$104&gt;=R19,Атлет!$H$5:$H$104)),Атлет!$H$5:$I$104,2)))</f>
        <v>0</v>
      </c>
      <c r="T19" s="157">
        <f>S19+Q19+O19+M19+K19+I19+G19</f>
        <v>0</v>
      </c>
      <c r="U19" s="144" t="str">
        <f>IF(T19&lt;=0, "", RANK(T19,$T$5:$T$104,0))</f>
        <v/>
      </c>
    </row>
    <row r="20" spans="1:21" ht="20.100000000000001" customHeight="1" x14ac:dyDescent="0.2">
      <c r="A20" s="132">
        <v>16</v>
      </c>
      <c r="B20" s="146"/>
      <c r="C20" s="146"/>
      <c r="D20" s="158"/>
      <c r="E20" s="133" t="s">
        <v>129</v>
      </c>
      <c r="F20" s="134"/>
      <c r="G20" s="149">
        <f>IF(F20="-",0,IFERROR(IFERROR(VLOOKUP(F20,Атлет!$B$5:$I$104,8,FALSE),(IF(F20&lt;1,0,IF(INT(F20)&gt;=25,100,"Введите целое число")))),"Введите целое число или '-'"))</f>
        <v>0</v>
      </c>
      <c r="H20" s="136"/>
      <c r="I20" s="151">
        <f t="array" ref="I20">IF(H20=0,0,IF(MIN(IF(Атлет!$C$5:$C$104&gt;=H20,Атлет!$C$5:$C$104))=0,0,VLOOKUP(MIN(IF(Атлет!$C$5:$C$104&gt;=H20,Атлет!$C$5:$C$104)),Атлет!$C$5:$I$104,7)))</f>
        <v>0</v>
      </c>
      <c r="J20" s="138"/>
      <c r="K20" s="153">
        <f>IF(J20="-",0,IFERROR(IFERROR(VLOOKUP(J20,Атлет!$D$5:$I$104,6,FALSE),(IF(J20&lt;1,0,IF(INT(J20)&gt;=40,100,"Введите целое число")))),"Введите целое число или '-'"))</f>
        <v>0</v>
      </c>
      <c r="L20" s="154"/>
      <c r="M20" s="151">
        <f>IF(L20="-",0,IFERROR(IFERROR(VLOOKUP(L20,Атлет!$E$5:$I$104,5,FALSE),(IF(L20&lt;1,0,IF(INT(L20)&gt;=30,100,"Введите целое число")))),"Введите целое число или '-'"))</f>
        <v>0</v>
      </c>
      <c r="N20" s="155"/>
      <c r="O20" s="153">
        <f>IF(N20="-",0,IFERROR(IFERROR(VLOOKUP(N20,Атлет!$F$5:$I$104,4,FALSE),(IF(N20&lt;1,0,IF(INT(N20)&gt;=90,100,"Введите целое число")))),"Введите целое число или '-'"))</f>
        <v>0</v>
      </c>
      <c r="P20" s="154"/>
      <c r="Q20" s="151">
        <f>IF(P20="-",0,IFERROR(IFERROR(VLOOKUP(P20,Атлет!$G$5:$I$104,3,FALSE),(IF(P20&lt;1,0,IF(INT(P20)&gt;=100,100,"Введите целое число")))),"Введите целое число или '-'"))</f>
        <v>0</v>
      </c>
      <c r="R20" s="142"/>
      <c r="S20" s="149">
        <f t="array" ref="S20">IF(R20=0,0,IF(MIN(IF(Атлет!$H$5:$H$104&gt;=R20,Атлет!$H$5:$H$104))=0,0,VLOOKUP(MIN(IF(Атлет!$H$5:$H$104&gt;=R20,Атлет!$H$5:$H$104)),Атлет!$H$5:$I$104,2)))</f>
        <v>0</v>
      </c>
      <c r="T20" s="157">
        <f>S20+Q20+O20+M20+K20+I20+G20</f>
        <v>0</v>
      </c>
      <c r="U20" s="144" t="str">
        <f>IF(T20&lt;=0, "", RANK(T20,$T$5:$T$104,0))</f>
        <v/>
      </c>
    </row>
    <row r="21" spans="1:21" ht="20.100000000000001" customHeight="1" x14ac:dyDescent="0.2">
      <c r="A21" s="145">
        <v>17</v>
      </c>
      <c r="B21" s="146"/>
      <c r="C21" s="159"/>
      <c r="D21" s="158"/>
      <c r="E21" s="133" t="s">
        <v>129</v>
      </c>
      <c r="F21" s="148"/>
      <c r="G21" s="149">
        <f>IF(F21="-",0,IFERROR(IFERROR(VLOOKUP(F21,Атлет!$B$5:$I$104,8,FALSE),(IF(F21&lt;1,0,IF(INT(F21)&gt;=25,100,"Введите целое число")))),"Введите целое число или '-'"))</f>
        <v>0</v>
      </c>
      <c r="H21" s="136"/>
      <c r="I21" s="151">
        <f t="array" ref="I21">IF(H21=0,0,IF(MIN(IF(Атлет!$C$5:$C$104&gt;=H21,Атлет!$C$5:$C$104))=0,0,VLOOKUP(MIN(IF(Атлет!$C$5:$C$104&gt;=H21,Атлет!$C$5:$C$104)),Атлет!$C$5:$I$104,7)))</f>
        <v>0</v>
      </c>
      <c r="J21" s="138"/>
      <c r="K21" s="153">
        <f>IF(J21="-",0,IFERROR(IFERROR(VLOOKUP(J21,Атлет!$D$5:$I$104,6,FALSE),(IF(J21&lt;1,0,IF(INT(J21)&gt;=40,100,"Введите целое число")))),"Введите целое число или '-'"))</f>
        <v>0</v>
      </c>
      <c r="L21" s="140"/>
      <c r="M21" s="151">
        <f>IF(L21="-",0,IFERROR(IFERROR(VLOOKUP(L21,Атлет!$E$5:$I$104,5,FALSE),(IF(L21&lt;1,0,IF(INT(L21)&gt;=30,100,"Введите целое число")))),"Введите целое число или '-'"))</f>
        <v>0</v>
      </c>
      <c r="N21" s="141"/>
      <c r="O21" s="153">
        <f>IF(N21="-",0,IFERROR(IFERROR(VLOOKUP(N21,Атлет!$F$5:$I$104,4,FALSE),(IF(N21&lt;1,0,IF(INT(N21)&gt;=90,100,"Введите целое число")))),"Введите целое число или '-'"))</f>
        <v>0</v>
      </c>
      <c r="P21" s="140"/>
      <c r="Q21" s="151">
        <f>IF(P21="-",0,IFERROR(IFERROR(VLOOKUP(P21,Атлет!$G$5:$I$104,3,FALSE),(IF(P21&lt;1,0,IF(INT(P21)&gt;=100,100,"Введите целое число")))),"Введите целое число или '-'"))</f>
        <v>0</v>
      </c>
      <c r="R21" s="156"/>
      <c r="S21" s="149">
        <f t="array" ref="S21">IF(R21=0,0,IF(MIN(IF(Атлет!$H$5:$H$104&gt;=R21,Атлет!$H$5:$H$104))=0,0,VLOOKUP(MIN(IF(Атлет!$H$5:$H$104&gt;=R21,Атлет!$H$5:$H$104)),Атлет!$H$5:$I$104,2)))</f>
        <v>0</v>
      </c>
      <c r="T21" s="157">
        <f>S21+Q21+O21+M21+K21+I21+G21</f>
        <v>0</v>
      </c>
      <c r="U21" s="144" t="str">
        <f>IF(T21&lt;=0, "", RANK(T21,$T$5:$T$104,0))</f>
        <v/>
      </c>
    </row>
    <row r="22" spans="1:21" ht="20.100000000000001" customHeight="1" x14ac:dyDescent="0.2">
      <c r="A22" s="145">
        <v>18</v>
      </c>
      <c r="B22" s="146"/>
      <c r="C22" s="146"/>
      <c r="D22" s="158"/>
      <c r="E22" s="133" t="s">
        <v>129</v>
      </c>
      <c r="F22" s="148"/>
      <c r="G22" s="149">
        <f>IF(F22="-",0,IFERROR(IFERROR(VLOOKUP(F22,Атлет!$B$5:$I$104,8,FALSE),(IF(F22&lt;1,0,IF(INT(F22)&gt;=25,100,"Введите целое число")))),"Введите целое число или '-'"))</f>
        <v>0</v>
      </c>
      <c r="H22" s="136"/>
      <c r="I22" s="151">
        <f t="array" ref="I22">IF(H22=0,0,IF(MIN(IF(Атлет!$C$5:$C$104&gt;=H22,Атлет!$C$5:$C$104))=0,0,VLOOKUP(MIN(IF(Атлет!$C$5:$C$104&gt;=H22,Атлет!$C$5:$C$104)),Атлет!$C$5:$I$104,7)))</f>
        <v>0</v>
      </c>
      <c r="J22" s="138"/>
      <c r="K22" s="153">
        <f>IF(J22="-",0,IFERROR(IFERROR(VLOOKUP(J22,Атлет!$D$5:$I$104,6,FALSE),(IF(J22&lt;1,0,IF(INT(J22)&gt;=40,100,"Введите целое число")))),"Введите целое число или '-'"))</f>
        <v>0</v>
      </c>
      <c r="L22" s="154"/>
      <c r="M22" s="151">
        <f>IF(L22="-",0,IFERROR(IFERROR(VLOOKUP(L22,Атлет!$E$5:$I$104,5,FALSE),(IF(L22&lt;1,0,IF(INT(L22)&gt;=30,100,"Введите целое число")))),"Введите целое число или '-'"))</f>
        <v>0</v>
      </c>
      <c r="N22" s="155"/>
      <c r="O22" s="153">
        <f>IF(N22="-",0,IFERROR(IFERROR(VLOOKUP(N22,Атлет!$F$5:$I$104,4,FALSE),(IF(N22&lt;1,0,IF(INT(N22)&gt;=90,100,"Введите целое число")))),"Введите целое число или '-'"))</f>
        <v>0</v>
      </c>
      <c r="P22" s="154"/>
      <c r="Q22" s="151">
        <f>IF(P22="-",0,IFERROR(IFERROR(VLOOKUP(P22,Атлет!$G$5:$I$104,3,FALSE),(IF(P22&lt;1,0,IF(INT(P22)&gt;=100,100,"Введите целое число")))),"Введите целое число или '-'"))</f>
        <v>0</v>
      </c>
      <c r="R22" s="156"/>
      <c r="S22" s="149">
        <f t="array" ref="S22">IF(R22=0,0,IF(MIN(IF(Атлет!$H$5:$H$104&gt;=R22,Атлет!$H$5:$H$104))=0,0,VLOOKUP(MIN(IF(Атлет!$H$5:$H$104&gt;=R22,Атлет!$H$5:$H$104)),Атлет!$H$5:$I$104,2)))</f>
        <v>0</v>
      </c>
      <c r="T22" s="157">
        <f>S22+Q22+O22+M22+K22+I22+G22</f>
        <v>0</v>
      </c>
      <c r="U22" s="144" t="str">
        <f>IF(T22&lt;=0, "", RANK(T22,$T$5:$T$104,0))</f>
        <v/>
      </c>
    </row>
    <row r="23" spans="1:21" ht="20.100000000000001" customHeight="1" x14ac:dyDescent="0.3">
      <c r="A23" s="132">
        <v>19</v>
      </c>
      <c r="B23" s="146"/>
      <c r="C23" s="159"/>
      <c r="D23" s="160"/>
      <c r="E23" s="133" t="s">
        <v>129</v>
      </c>
      <c r="F23" s="134"/>
      <c r="G23" s="149">
        <f>IF(F23="-",0,IFERROR(IFERROR(VLOOKUP(F23,Атлет!$B$5:$I$104,8,FALSE),(IF(F23&lt;1,0,IF(INT(F23)&gt;=25,100,"Введите целое число")))),"Введите целое число или '-'"))</f>
        <v>0</v>
      </c>
      <c r="H23" s="136"/>
      <c r="I23" s="151">
        <f t="array" ref="I23">IF(H23=0,0,IF(MIN(IF(Атлет!$C$5:$C$104&gt;=H23,Атлет!$C$5:$C$104))=0,0,VLOOKUP(MIN(IF(Атлет!$C$5:$C$104&gt;=H23,Атлет!$C$5:$C$104)),Атлет!$C$5:$I$104,7)))</f>
        <v>0</v>
      </c>
      <c r="J23" s="138"/>
      <c r="K23" s="153">
        <f>IF(J23="-",0,IFERROR(IFERROR(VLOOKUP(J23,Атлет!$D$5:$I$104,6,FALSE),(IF(J23&lt;1,0,IF(INT(J23)&gt;=40,100,"Введите целое число")))),"Введите целое число или '-'"))</f>
        <v>0</v>
      </c>
      <c r="L23" s="140"/>
      <c r="M23" s="151">
        <f>IF(L23="-",0,IFERROR(IFERROR(VLOOKUP(L23,Атлет!$E$5:$I$104,5,FALSE),(IF(L23&lt;1,0,IF(INT(L23)&gt;=30,100,"Введите целое число")))),"Введите целое число или '-'"))</f>
        <v>0</v>
      </c>
      <c r="N23" s="141"/>
      <c r="O23" s="153">
        <f>IF(N23="-",0,IFERROR(IFERROR(VLOOKUP(N23,Атлет!$F$5:$I$104,4,FALSE),(IF(N23&lt;1,0,IF(INT(N23)&gt;=90,100,"Введите целое число")))),"Введите целое число или '-'"))</f>
        <v>0</v>
      </c>
      <c r="P23" s="140"/>
      <c r="Q23" s="151">
        <f>IF(P23="-",0,IFERROR(IFERROR(VLOOKUP(P23,Атлет!$G$5:$I$104,3,FALSE),(IF(P23&lt;1,0,IF(INT(P23)&gt;=100,100,"Введите целое число")))),"Введите целое число или '-'"))</f>
        <v>0</v>
      </c>
      <c r="R23" s="142"/>
      <c r="S23" s="149">
        <f t="array" ref="S23">IF(R23=0,0,IF(MIN(IF(Атлет!$H$5:$H$104&gt;=R23,Атлет!$H$5:$H$104))=0,0,VLOOKUP(MIN(IF(Атлет!$H$5:$H$104&gt;=R23,Атлет!$H$5:$H$104)),Атлет!$H$5:$I$104,2)))</f>
        <v>0</v>
      </c>
      <c r="T23" s="157">
        <f>S23+Q23+O23+M23+K23+I23+G23</f>
        <v>0</v>
      </c>
      <c r="U23" s="144" t="str">
        <f>IF(T23&lt;=0, "", RANK(T23,$T$5:$T$104,0))</f>
        <v/>
      </c>
    </row>
    <row r="24" spans="1:21" ht="20.100000000000001" customHeight="1" x14ac:dyDescent="0.2">
      <c r="A24" s="145">
        <v>20</v>
      </c>
      <c r="B24" s="146"/>
      <c r="C24" s="159"/>
      <c r="D24" s="158"/>
      <c r="E24" s="133" t="s">
        <v>127</v>
      </c>
      <c r="F24" s="148"/>
      <c r="G24" s="149">
        <f>IF(F24="-",0,IFERROR(IFERROR(VLOOKUP(F24,Атлет!$B$5:$I$104,8,FALSE),(IF(F24&lt;1,0,IF(INT(F24)&gt;=25,100,"Введите целое число")))),"Введите целое число или '-'"))</f>
        <v>0</v>
      </c>
      <c r="H24" s="136"/>
      <c r="I24" s="151">
        <f t="array" ref="I24">IF(H24=0,0,IF(MIN(IF(Атлет!$C$5:$C$104&gt;=H24,Атлет!$C$5:$C$104))=0,0,VLOOKUP(MIN(IF(Атлет!$C$5:$C$104&gt;=H24,Атлет!$C$5:$C$104)),Атлет!$C$5:$I$104,7)))</f>
        <v>0</v>
      </c>
      <c r="J24" s="138"/>
      <c r="K24" s="153">
        <f>IF(J24="-",0,IFERROR(IFERROR(VLOOKUP(J24,Атлет!$D$5:$I$104,6,FALSE),(IF(J24&lt;1,0,IF(INT(J24)&gt;=40,100,"Введите целое число")))),"Введите целое число или '-'"))</f>
        <v>0</v>
      </c>
      <c r="L24" s="154"/>
      <c r="M24" s="151">
        <f>IF(L24="-",0,IFERROR(IFERROR(VLOOKUP(L24,Атлет!$E$5:$I$104,5,FALSE),(IF(L24&lt;1,0,IF(INT(L24)&gt;=30,100,"Введите целое число")))),"Введите целое число или '-'"))</f>
        <v>0</v>
      </c>
      <c r="N24" s="155"/>
      <c r="O24" s="153">
        <f>IF(N24="-",0,IFERROR(IFERROR(VLOOKUP(N24,Атлет!$F$5:$I$104,4,FALSE),(IF(N24&lt;1,0,IF(INT(N24)&gt;=90,100,"Введите целое число")))),"Введите целое число или '-'"))</f>
        <v>0</v>
      </c>
      <c r="P24" s="154"/>
      <c r="Q24" s="151">
        <f>IF(P24="-",0,IFERROR(IFERROR(VLOOKUP(P24,Атлет!$G$5:$I$104,3,FALSE),(IF(P24&lt;1,0,IF(INT(P24)&gt;=100,100,"Введите целое число")))),"Введите целое число или '-'"))</f>
        <v>0</v>
      </c>
      <c r="R24" s="156"/>
      <c r="S24" s="149">
        <f t="array" ref="S24">IF(R24=0,0,IF(MIN(IF(Атлет!$H$5:$H$104&gt;=R24,Атлет!$H$5:$H$104))=0,0,VLOOKUP(MIN(IF(Атлет!$H$5:$H$104&gt;=R24,Атлет!$H$5:$H$104)),Атлет!$H$5:$I$104,2)))</f>
        <v>0</v>
      </c>
      <c r="T24" s="157">
        <f>S24+Q24+O24+M24+K24+I24+G24</f>
        <v>0</v>
      </c>
      <c r="U24" s="144" t="str">
        <f>IF(T24&lt;=0, "", RANK(T24,$T$5:$T$104,0))</f>
        <v/>
      </c>
    </row>
    <row r="25" spans="1:21" ht="20.100000000000001" customHeight="1" x14ac:dyDescent="0.3">
      <c r="A25" s="145">
        <v>21</v>
      </c>
      <c r="B25" s="146"/>
      <c r="C25" s="146"/>
      <c r="D25" s="160"/>
      <c r="E25" s="133" t="s">
        <v>127</v>
      </c>
      <c r="F25" s="148"/>
      <c r="G25" s="149">
        <f>IF(F25="-",0,IFERROR(IFERROR(VLOOKUP(F25,Атлет!$B$5:$I$104,8,FALSE),(IF(F25&lt;1,0,IF(INT(F25)&gt;=25,100,"Введите целое число")))),"Введите целое число или '-'"))</f>
        <v>0</v>
      </c>
      <c r="H25" s="136"/>
      <c r="I25" s="151">
        <f t="array" ref="I25">IF(H25=0,0,IF(MIN(IF(Атлет!$C$5:$C$104&gt;=H25,Атлет!$C$5:$C$104))=0,0,VLOOKUP(MIN(IF(Атлет!$C$5:$C$104&gt;=H25,Атлет!$C$5:$C$104)),Атлет!$C$5:$I$104,7)))</f>
        <v>0</v>
      </c>
      <c r="J25" s="138"/>
      <c r="K25" s="153">
        <f>IF(J25="-",0,IFERROR(IFERROR(VLOOKUP(J25,Атлет!$D$5:$I$104,6,FALSE),(IF(J25&lt;1,0,IF(INT(J25)&gt;=40,100,"Введите целое число")))),"Введите целое число или '-'"))</f>
        <v>0</v>
      </c>
      <c r="L25" s="140"/>
      <c r="M25" s="151">
        <f>IF(L25="-",0,IFERROR(IFERROR(VLOOKUP(L25,Атлет!$E$5:$I$104,5,FALSE),(IF(L25&lt;1,0,IF(INT(L25)&gt;=30,100,"Введите целое число")))),"Введите целое число или '-'"))</f>
        <v>0</v>
      </c>
      <c r="N25" s="141"/>
      <c r="O25" s="153">
        <f>IF(N25="-",0,IFERROR(IFERROR(VLOOKUP(N25,Атлет!$F$5:$I$104,4,FALSE),(IF(N25&lt;1,0,IF(INT(N25)&gt;=90,100,"Введите целое число")))),"Введите целое число или '-'"))</f>
        <v>0</v>
      </c>
      <c r="P25" s="140"/>
      <c r="Q25" s="151">
        <f>IF(P25="-",0,IFERROR(IFERROR(VLOOKUP(P25,Атлет!$G$5:$I$104,3,FALSE),(IF(P25&lt;1,0,IF(INT(P25)&gt;=100,100,"Введите целое число")))),"Введите целое число или '-'"))</f>
        <v>0</v>
      </c>
      <c r="R25" s="156"/>
      <c r="S25" s="149">
        <f t="array" ref="S25">IF(R25=0,0,IF(MIN(IF(Атлет!$H$5:$H$104&gt;=R25,Атлет!$H$5:$H$104))=0,0,VLOOKUP(MIN(IF(Атлет!$H$5:$H$104&gt;=R25,Атлет!$H$5:$H$104)),Атлет!$H$5:$I$104,2)))</f>
        <v>0</v>
      </c>
      <c r="T25" s="157">
        <f>S25+Q25+O25+M25+K25+I25+G25</f>
        <v>0</v>
      </c>
      <c r="U25" s="144" t="str">
        <f>IF(T25&lt;=0, "", RANK(T25,$T$5:$T$104,0))</f>
        <v/>
      </c>
    </row>
    <row r="26" spans="1:21" ht="20.100000000000001" customHeight="1" x14ac:dyDescent="0.2">
      <c r="A26" s="132">
        <v>22</v>
      </c>
      <c r="B26" s="146"/>
      <c r="C26" s="159"/>
      <c r="D26" s="147"/>
      <c r="E26" s="133" t="s">
        <v>127</v>
      </c>
      <c r="F26" s="134"/>
      <c r="G26" s="149">
        <f>IF(F26="-",0,IFERROR(IFERROR(VLOOKUP(F26,Атлет!$B$5:$I$104,8,FALSE),(IF(F26&lt;1,0,IF(INT(F26)&gt;=25,100,"Введите целое число")))),"Введите целое число или '-'"))</f>
        <v>0</v>
      </c>
      <c r="H26" s="136"/>
      <c r="I26" s="151">
        <f t="array" ref="I26">IF(H26=0,0,IF(MIN(IF(Атлет!$C$5:$C$104&gt;=H26,Атлет!$C$5:$C$104))=0,0,VLOOKUP(MIN(IF(Атлет!$C$5:$C$104&gt;=H26,Атлет!$C$5:$C$104)),Атлет!$C$5:$I$104,7)))</f>
        <v>0</v>
      </c>
      <c r="J26" s="138"/>
      <c r="K26" s="153">
        <f>IF(J26="-",0,IFERROR(IFERROR(VLOOKUP(J26,Атлет!$D$5:$I$104,6,FALSE),(IF(J26&lt;1,0,IF(INT(J26)&gt;=40,100,"Введите целое число")))),"Введите целое число или '-'"))</f>
        <v>0</v>
      </c>
      <c r="L26" s="154"/>
      <c r="M26" s="151">
        <f>IF(L26="-",0,IFERROR(IFERROR(VLOOKUP(L26,Атлет!$E$5:$I$104,5,FALSE),(IF(L26&lt;1,0,IF(INT(L26)&gt;=30,100,"Введите целое число")))),"Введите целое число или '-'"))</f>
        <v>0</v>
      </c>
      <c r="N26" s="155"/>
      <c r="O26" s="153">
        <f>IF(N26="-",0,IFERROR(IFERROR(VLOOKUP(N26,Атлет!$F$5:$I$104,4,FALSE),(IF(N26&lt;1,0,IF(INT(N26)&gt;=90,100,"Введите целое число")))),"Введите целое число или '-'"))</f>
        <v>0</v>
      </c>
      <c r="P26" s="154"/>
      <c r="Q26" s="151">
        <f>IF(P26="-",0,IFERROR(IFERROR(VLOOKUP(P26,Атлет!$G$5:$I$104,3,FALSE),(IF(P26&lt;1,0,IF(INT(P26)&gt;=100,100,"Введите целое число")))),"Введите целое число или '-'"))</f>
        <v>0</v>
      </c>
      <c r="R26" s="142"/>
      <c r="S26" s="149">
        <f t="array" ref="S26">IF(R26=0,0,IF(MIN(IF(Атлет!$H$5:$H$104&gt;=R26,Атлет!$H$5:$H$104))=0,0,VLOOKUP(MIN(IF(Атлет!$H$5:$H$104&gt;=R26,Атлет!$H$5:$H$104)),Атлет!$H$5:$I$104,2)))</f>
        <v>0</v>
      </c>
      <c r="T26" s="157">
        <f>S26+Q26+O26+M26+K26+I26+G26</f>
        <v>0</v>
      </c>
      <c r="U26" s="144" t="str">
        <f>IF(T26&lt;=0, "", RANK(T26,$T$5:$T$104,0))</f>
        <v/>
      </c>
    </row>
    <row r="27" spans="1:21" ht="20.100000000000001" customHeight="1" x14ac:dyDescent="0.3">
      <c r="A27" s="145">
        <v>23</v>
      </c>
      <c r="B27" s="146"/>
      <c r="C27" s="146"/>
      <c r="D27" s="160"/>
      <c r="E27" s="133" t="s">
        <v>127</v>
      </c>
      <c r="F27" s="148"/>
      <c r="G27" s="149">
        <f>IF(F27="-",0,IFERROR(IFERROR(VLOOKUP(F27,Атлет!$B$5:$I$104,8,FALSE),(IF(F27&lt;1,0,IF(INT(F27)&gt;=25,100,"Введите целое число")))),"Введите целое число или '-'"))</f>
        <v>0</v>
      </c>
      <c r="H27" s="136"/>
      <c r="I27" s="151">
        <f t="array" ref="I27">IF(H27=0,0,IF(MIN(IF(Атлет!$C$5:$C$104&gt;=H27,Атлет!$C$5:$C$104))=0,0,VLOOKUP(MIN(IF(Атлет!$C$5:$C$104&gt;=H27,Атлет!$C$5:$C$104)),Атлет!$C$5:$I$104,7)))</f>
        <v>0</v>
      </c>
      <c r="J27" s="138"/>
      <c r="K27" s="153">
        <f>IF(J27="-",0,IFERROR(IFERROR(VLOOKUP(J27,Атлет!$D$5:$I$104,6,FALSE),(IF(J27&lt;1,0,IF(INT(J27)&gt;=40,100,"Введите целое число")))),"Введите целое число или '-'"))</f>
        <v>0</v>
      </c>
      <c r="L27" s="140"/>
      <c r="M27" s="151">
        <f>IF(L27="-",0,IFERROR(IFERROR(VLOOKUP(L27,Атлет!$E$5:$I$104,5,FALSE),(IF(L27&lt;1,0,IF(INT(L27)&gt;=30,100,"Введите целое число")))),"Введите целое число или '-'"))</f>
        <v>0</v>
      </c>
      <c r="N27" s="141"/>
      <c r="O27" s="153">
        <f>IF(N27="-",0,IFERROR(IFERROR(VLOOKUP(N27,Атлет!$F$5:$I$104,4,FALSE),(IF(N27&lt;1,0,IF(INT(N27)&gt;=90,100,"Введите целое число")))),"Введите целое число или '-'"))</f>
        <v>0</v>
      </c>
      <c r="P27" s="140"/>
      <c r="Q27" s="151">
        <f>IF(P27="-",0,IFERROR(IFERROR(VLOOKUP(P27,Атлет!$G$5:$I$104,3,FALSE),(IF(P27&lt;1,0,IF(INT(P27)&gt;=100,100,"Введите целое число")))),"Введите целое число или '-'"))</f>
        <v>0</v>
      </c>
      <c r="R27" s="156"/>
      <c r="S27" s="149">
        <f t="array" ref="S27">IF(R27=0,0,IF(MIN(IF(Атлет!$H$5:$H$104&gt;=R27,Атлет!$H$5:$H$104))=0,0,VLOOKUP(MIN(IF(Атлет!$H$5:$H$104&gt;=R27,Атлет!$H$5:$H$104)),Атлет!$H$5:$I$104,2)))</f>
        <v>0</v>
      </c>
      <c r="T27" s="157">
        <f>S27+Q27+O27+M27+K27+I27+G27</f>
        <v>0</v>
      </c>
      <c r="U27" s="144" t="str">
        <f>IF(T27&lt;=0, "", RANK(T27,$T$5:$T$104,0))</f>
        <v/>
      </c>
    </row>
    <row r="28" spans="1:21" ht="20.100000000000001" customHeight="1" x14ac:dyDescent="0.2">
      <c r="A28" s="145">
        <v>24</v>
      </c>
      <c r="B28" s="159"/>
      <c r="C28" s="159"/>
      <c r="D28" s="147"/>
      <c r="E28" s="133" t="s">
        <v>127</v>
      </c>
      <c r="F28" s="134"/>
      <c r="G28" s="149">
        <f>IF(F28="-",0,IFERROR(IFERROR(VLOOKUP(F28,Атлет!$B$5:$I$104,8,FALSE),(IF(F28&lt;1,0,IF(INT(F28)&gt;=25,100,"Введите целое число")))),"Введите целое число или '-'"))</f>
        <v>0</v>
      </c>
      <c r="H28" s="136"/>
      <c r="I28" s="151">
        <f t="array" ref="I28">IF(H28=0,0,IF(MIN(IF(Атлет!$C$5:$C$104&gt;=H28,Атлет!$C$5:$C$104))=0,0,VLOOKUP(MIN(IF(Атлет!$C$5:$C$104&gt;=H28,Атлет!$C$5:$C$104)),Атлет!$C$5:$I$104,7)))</f>
        <v>0</v>
      </c>
      <c r="J28" s="138"/>
      <c r="K28" s="153">
        <f>IF(J28="-",0,IFERROR(IFERROR(VLOOKUP(J28,Атлет!$D$5:$I$104,6,FALSE),(IF(J28&lt;1,0,IF(INT(J28)&gt;=40,100,"Введите целое число")))),"Введите целое число или '-'"))</f>
        <v>0</v>
      </c>
      <c r="L28" s="154"/>
      <c r="M28" s="151">
        <f>IF(L28="-",0,IFERROR(IFERROR(VLOOKUP(L28,Атлет!$E$5:$I$104,5,FALSE),(IF(L28&lt;1,0,IF(INT(L28)&gt;=30,100,"Введите целое число")))),"Введите целое число или '-'"))</f>
        <v>0</v>
      </c>
      <c r="N28" s="155"/>
      <c r="O28" s="153">
        <f>IF(N28="-",0,IFERROR(IFERROR(VLOOKUP(N28,Атлет!$F$5:$I$104,4,FALSE),(IF(N28&lt;1,0,IF(INT(N28)&gt;=90,100,"Введите целое число")))),"Введите целое число или '-'"))</f>
        <v>0</v>
      </c>
      <c r="P28" s="154"/>
      <c r="Q28" s="151">
        <f>IF(P28="-",0,IFERROR(IFERROR(VLOOKUP(P28,Атлет!$G$5:$I$104,3,FALSE),(IF(P28&lt;1,0,IF(INT(P28)&gt;=100,100,"Введите целое число")))),"Введите целое число или '-'"))</f>
        <v>0</v>
      </c>
      <c r="R28" s="156"/>
      <c r="S28" s="149">
        <f t="array" ref="S28">IF(R28=0,0,IF(MIN(IF(Атлет!$H$5:$H$104&gt;=R28,Атлет!$H$5:$H$104))=0,0,VLOOKUP(MIN(IF(Атлет!$H$5:$H$104&gt;=R28,Атлет!$H$5:$H$104)),Атлет!$H$5:$I$104,2)))</f>
        <v>0</v>
      </c>
      <c r="T28" s="157">
        <f>S28+Q28+O28+M28+K28+I28+G28</f>
        <v>0</v>
      </c>
      <c r="U28" s="144" t="str">
        <f>IF(T28&lt;=0, "", RANK(T28,$T$5:$T$104,0))</f>
        <v/>
      </c>
    </row>
    <row r="29" spans="1:21" ht="20.100000000000001" customHeight="1" x14ac:dyDescent="0.2">
      <c r="A29" s="132">
        <v>25</v>
      </c>
      <c r="B29" s="146"/>
      <c r="C29" s="146"/>
      <c r="D29" s="158" t="s">
        <v>155</v>
      </c>
      <c r="E29" s="133" t="s">
        <v>128</v>
      </c>
      <c r="F29" s="148"/>
      <c r="G29" s="149">
        <f>IF(F29="-",0,IFERROR(IFERROR(VLOOKUP(F29,Атлет!$B$5:$I$104,8,FALSE),(IF(F29&lt;1,0,IF(INT(F29)&gt;=25,100,"Введите целое число")))),"Введите целое число или '-'"))</f>
        <v>0</v>
      </c>
      <c r="H29" s="136"/>
      <c r="I29" s="151">
        <f t="array" ref="I29">IF(H29=0,0,IF(MIN(IF(Атлет!$C$5:$C$104&gt;=H29,Атлет!$C$5:$C$104))=0,0,VLOOKUP(MIN(IF(Атлет!$C$5:$C$104&gt;=H29,Атлет!$C$5:$C$104)),Атлет!$C$5:$I$104,7)))</f>
        <v>0</v>
      </c>
      <c r="J29" s="138"/>
      <c r="K29" s="153">
        <f>IF(J29="-",0,IFERROR(IFERROR(VLOOKUP(J29,Атлет!$D$5:$I$104,6,FALSE),(IF(J29&lt;1,0,IF(INT(J29)&gt;=40,100,"Введите целое число")))),"Введите целое число или '-'"))</f>
        <v>0</v>
      </c>
      <c r="L29" s="140"/>
      <c r="M29" s="151">
        <f>IF(L29="-",0,IFERROR(IFERROR(VLOOKUP(L29,Атлет!$E$5:$I$104,5,FALSE),(IF(L29&lt;1,0,IF(INT(L29)&gt;=30,100,"Введите целое число")))),"Введите целое число или '-'"))</f>
        <v>0</v>
      </c>
      <c r="N29" s="141"/>
      <c r="O29" s="153">
        <f>IF(N29="-",0,IFERROR(IFERROR(VLOOKUP(N29,Атлет!$F$5:$I$104,4,FALSE),(IF(N29&lt;1,0,IF(INT(N29)&gt;=90,100,"Введите целое число")))),"Введите целое число или '-'"))</f>
        <v>0</v>
      </c>
      <c r="P29" s="140"/>
      <c r="Q29" s="151">
        <f>IF(P29="-",0,IFERROR(IFERROR(VLOOKUP(P29,Атлет!$G$5:$I$104,3,FALSE),(IF(P29&lt;1,0,IF(INT(P29)&gt;=100,100,"Введите целое число")))),"Введите целое число или '-'"))</f>
        <v>0</v>
      </c>
      <c r="R29" s="142"/>
      <c r="S29" s="149">
        <f t="array" ref="S29">IF(R29=0,0,IF(MIN(IF(Атлет!$H$5:$H$104&gt;=R29,Атлет!$H$5:$H$104))=0,0,VLOOKUP(MIN(IF(Атлет!$H$5:$H$104&gt;=R29,Атлет!$H$5:$H$104)),Атлет!$H$5:$I$104,2)))</f>
        <v>0</v>
      </c>
      <c r="T29" s="157">
        <f>S29+Q29+O29+M29+K29+I29+G29</f>
        <v>0</v>
      </c>
      <c r="U29" s="144" t="str">
        <f>IF(T29&lt;=0, "", RANK(T29,$T$5:$T$104,0))</f>
        <v/>
      </c>
    </row>
    <row r="30" spans="1:21" ht="20.100000000000001" customHeight="1" x14ac:dyDescent="0.2">
      <c r="A30" s="145">
        <v>26</v>
      </c>
      <c r="B30" s="159"/>
      <c r="C30" s="159"/>
      <c r="D30" s="158" t="s">
        <v>156</v>
      </c>
      <c r="E30" s="133" t="s">
        <v>128</v>
      </c>
      <c r="F30" s="134"/>
      <c r="G30" s="149">
        <f>IF(F30="-",0,IFERROR(IFERROR(VLOOKUP(F30,Атлет!$B$5:$I$104,8,FALSE),(IF(F30&lt;1,0,IF(INT(F30)&gt;=25,100,"Введите целое число")))),"Введите целое число или '-'"))</f>
        <v>0</v>
      </c>
      <c r="H30" s="136"/>
      <c r="I30" s="151">
        <f t="array" ref="I30">IF(H30=0,0,IF(MIN(IF(Атлет!$C$5:$C$104&gt;=H30,Атлет!$C$5:$C$104))=0,0,VLOOKUP(MIN(IF(Атлет!$C$5:$C$104&gt;=H30,Атлет!$C$5:$C$104)),Атлет!$C$5:$I$104,7)))</f>
        <v>0</v>
      </c>
      <c r="J30" s="138"/>
      <c r="K30" s="153">
        <f>IF(J30="-",0,IFERROR(IFERROR(VLOOKUP(J30,Атлет!$D$5:$I$104,6,FALSE),(IF(J30&lt;1,0,IF(INT(J30)&gt;=40,100,"Введите целое число")))),"Введите целое число или '-'"))</f>
        <v>0</v>
      </c>
      <c r="L30" s="154"/>
      <c r="M30" s="151">
        <f>IF(L30="-",0,IFERROR(IFERROR(VLOOKUP(L30,Атлет!$E$5:$I$104,5,FALSE),(IF(L30&lt;1,0,IF(INT(L30)&gt;=30,100,"Введите целое число")))),"Введите целое число или '-'"))</f>
        <v>0</v>
      </c>
      <c r="N30" s="155"/>
      <c r="O30" s="153">
        <f>IF(N30="-",0,IFERROR(IFERROR(VLOOKUP(N30,Атлет!$F$5:$I$104,4,FALSE),(IF(N30&lt;1,0,IF(INT(N30)&gt;=90,100,"Введите целое число")))),"Введите целое число или '-'"))</f>
        <v>0</v>
      </c>
      <c r="P30" s="154"/>
      <c r="Q30" s="151">
        <f>IF(P30="-",0,IFERROR(IFERROR(VLOOKUP(P30,Атлет!$G$5:$I$104,3,FALSE),(IF(P30&lt;1,0,IF(INT(P30)&gt;=100,100,"Введите целое число")))),"Введите целое число или '-'"))</f>
        <v>0</v>
      </c>
      <c r="R30" s="156"/>
      <c r="S30" s="149">
        <f t="array" ref="S30">IF(R30=0,0,IF(MIN(IF(Атлет!$H$5:$H$104&gt;=R30,Атлет!$H$5:$H$104))=0,0,VLOOKUP(MIN(IF(Атлет!$H$5:$H$104&gt;=R30,Атлет!$H$5:$H$104)),Атлет!$H$5:$I$104,2)))</f>
        <v>0</v>
      </c>
      <c r="T30" s="157">
        <f>S30+Q30+O30+M30+K30+I30+G30</f>
        <v>0</v>
      </c>
      <c r="U30" s="144" t="str">
        <f>IF(T30&lt;=0, "", RANK(T30,$T$5:$T$104,0))</f>
        <v/>
      </c>
    </row>
    <row r="31" spans="1:21" ht="20.100000000000001" customHeight="1" x14ac:dyDescent="0.2">
      <c r="A31" s="145">
        <v>27</v>
      </c>
      <c r="B31" s="146"/>
      <c r="C31" s="146"/>
      <c r="D31" s="158" t="s">
        <v>158</v>
      </c>
      <c r="E31" s="133" t="s">
        <v>173</v>
      </c>
      <c r="F31" s="148"/>
      <c r="G31" s="149">
        <f>IF(F31="-",0,IFERROR(IFERROR(VLOOKUP(F31,Атлет!$B$5:$I$104,8,FALSE),(IF(F31&lt;1,0,IF(INT(F31)&gt;=25,100,"Введите целое число")))),"Введите целое число или '-'"))</f>
        <v>0</v>
      </c>
      <c r="H31" s="136"/>
      <c r="I31" s="151">
        <f t="array" ref="I31">IF(H31=0,0,IF(MIN(IF(Атлет!$C$5:$C$104&gt;=H31,Атлет!$C$5:$C$104))=0,0,VLOOKUP(MIN(IF(Атлет!$C$5:$C$104&gt;=H31,Атлет!$C$5:$C$104)),Атлет!$C$5:$I$104,7)))</f>
        <v>0</v>
      </c>
      <c r="J31" s="138"/>
      <c r="K31" s="153">
        <f>IF(J31="-",0,IFERROR(IFERROR(VLOOKUP(J31,Атлет!$D$5:$I$104,6,FALSE),(IF(J31&lt;1,0,IF(INT(J31)&gt;=40,100,"Введите целое число")))),"Введите целое число или '-'"))</f>
        <v>0</v>
      </c>
      <c r="L31" s="140"/>
      <c r="M31" s="151">
        <f>IF(L31="-",0,IFERROR(IFERROR(VLOOKUP(L31,Атлет!$E$5:$I$104,5,FALSE),(IF(L31&lt;1,0,IF(INT(L31)&gt;=30,100,"Введите целое число")))),"Введите целое число или '-'"))</f>
        <v>0</v>
      </c>
      <c r="N31" s="141"/>
      <c r="O31" s="153">
        <f>IF(N31="-",0,IFERROR(IFERROR(VLOOKUP(N31,Атлет!$F$5:$I$104,4,FALSE),(IF(N31&lt;1,0,IF(INT(N31)&gt;=90,100,"Введите целое число")))),"Введите целое число или '-'"))</f>
        <v>0</v>
      </c>
      <c r="P31" s="140"/>
      <c r="Q31" s="151">
        <f>IF(P31="-",0,IFERROR(IFERROR(VLOOKUP(P31,Атлет!$G$5:$I$104,3,FALSE),(IF(P31&lt;1,0,IF(INT(P31)&gt;=100,100,"Введите целое число")))),"Введите целое число или '-'"))</f>
        <v>0</v>
      </c>
      <c r="R31" s="156"/>
      <c r="S31" s="149">
        <f t="array" ref="S31">IF(R31=0,0,IF(MIN(IF(Атлет!$H$5:$H$104&gt;=R31,Атлет!$H$5:$H$104))=0,0,VLOOKUP(MIN(IF(Атлет!$H$5:$H$104&gt;=R31,Атлет!$H$5:$H$104)),Атлет!$H$5:$I$104,2)))</f>
        <v>0</v>
      </c>
      <c r="T31" s="157">
        <f>S31+Q31+O31+M31+K31+I31+G31</f>
        <v>0</v>
      </c>
      <c r="U31" s="144" t="str">
        <f>IF(T31&lt;=0, "", RANK(T31,$T$5:$T$104,0))</f>
        <v/>
      </c>
    </row>
    <row r="32" spans="1:21" ht="20.100000000000001" customHeight="1" x14ac:dyDescent="0.2">
      <c r="A32" s="132">
        <v>28</v>
      </c>
      <c r="B32" s="159"/>
      <c r="C32" s="146"/>
      <c r="D32" s="158" t="s">
        <v>157</v>
      </c>
      <c r="E32" s="133" t="s">
        <v>173</v>
      </c>
      <c r="F32" s="134"/>
      <c r="G32" s="149">
        <f>IF(F32="-",0,IFERROR(IFERROR(VLOOKUP(F32,Атлет!$B$5:$I$104,8,FALSE),(IF(F32&lt;1,0,IF(INT(F32)&gt;=25,100,"Введите целое число")))),"Введите целое число или '-'"))</f>
        <v>0</v>
      </c>
      <c r="H32" s="136"/>
      <c r="I32" s="151">
        <f t="array" ref="I32">IF(H32=0,0,IF(MIN(IF(Атлет!$C$5:$C$104&gt;=H32,Атлет!$C$5:$C$104))=0,0,VLOOKUP(MIN(IF(Атлет!$C$5:$C$104&gt;=H32,Атлет!$C$5:$C$104)),Атлет!$C$5:$I$104,7)))</f>
        <v>0</v>
      </c>
      <c r="J32" s="152"/>
      <c r="K32" s="153">
        <f>IF(J32="-",0,IFERROR(IFERROR(VLOOKUP(J32,Атлет!$D$5:$I$104,6,FALSE),(IF(J32&lt;1,0,IF(INT(J32)&gt;=40,100,"Введите целое число")))),"Введите целое число или '-'"))</f>
        <v>0</v>
      </c>
      <c r="L32" s="140"/>
      <c r="M32" s="151">
        <f>IF(L32="-",0,IFERROR(IFERROR(VLOOKUP(L32,Атлет!$E$5:$I$104,5,FALSE),(IF(L32&lt;1,0,IF(INT(L32)&gt;=30,100,"Введите целое число")))),"Введите целое число или '-'"))</f>
        <v>0</v>
      </c>
      <c r="N32" s="155"/>
      <c r="O32" s="153">
        <f>IF(N32="-",0,IFERROR(IFERROR(VLOOKUP(N32,Атлет!$F$5:$I$104,4,FALSE),(IF(N32&lt;1,0,IF(INT(N32)&gt;=90,100,"Введите целое число")))),"Введите целое число или '-'"))</f>
        <v>0</v>
      </c>
      <c r="P32" s="154"/>
      <c r="Q32" s="151">
        <f>IF(P32="-",0,IFERROR(IFERROR(VLOOKUP(P32,Атлет!$G$5:$I$104,3,FALSE),(IF(P32&lt;1,0,IF(INT(P32)&gt;=100,100,"Введите целое число")))),"Введите целое число или '-'"))</f>
        <v>0</v>
      </c>
      <c r="R32" s="142"/>
      <c r="S32" s="149">
        <f t="array" ref="S32">IF(R32=0,0,IF(MIN(IF(Атлет!$H$5:$H$104&gt;=R32,Атлет!$H$5:$H$104))=0,0,VLOOKUP(MIN(IF(Атлет!$H$5:$H$104&gt;=R32,Атлет!$H$5:$H$104)),Атлет!$H$5:$I$104,2)))</f>
        <v>0</v>
      </c>
      <c r="T32" s="157">
        <f>S32+Q32+O32+M32+K32+I32+G32</f>
        <v>0</v>
      </c>
      <c r="U32" s="144" t="str">
        <f>IF(T32&lt;=0, "", RANK(T32,$T$5:$T$104,0))</f>
        <v/>
      </c>
    </row>
    <row r="33" spans="1:21" ht="20.100000000000001" customHeight="1" x14ac:dyDescent="0.2">
      <c r="A33" s="145">
        <v>29</v>
      </c>
      <c r="B33" s="146"/>
      <c r="C33" s="146"/>
      <c r="D33" s="162" t="s">
        <v>169</v>
      </c>
      <c r="E33" s="133" t="s">
        <v>122</v>
      </c>
      <c r="F33" s="148"/>
      <c r="G33" s="149">
        <f>IF(F33="-",0,IFERROR(IFERROR(VLOOKUP(F33,Атлет!$B$5:$I$104,8,FALSE),(IF(F33&lt;1,0,IF(INT(F33)&gt;=25,100,"Введите целое число")))),"Введите целое число или '-'"))</f>
        <v>0</v>
      </c>
      <c r="H33" s="136"/>
      <c r="I33" s="151">
        <f t="array" ref="I33">IF(H33=0,0,IF(MIN(IF(Атлет!$C$5:$C$104&gt;=H33,Атлет!$C$5:$C$104))=0,0,VLOOKUP(MIN(IF(Атлет!$C$5:$C$104&gt;=H33,Атлет!$C$5:$C$104)),Атлет!$C$5:$I$104,7)))</f>
        <v>0</v>
      </c>
      <c r="J33" s="138"/>
      <c r="K33" s="153">
        <f>IF(J33="-",0,IFERROR(IFERROR(VLOOKUP(J33,Атлет!$D$5:$I$104,6,FALSE),(IF(J33&lt;1,0,IF(INT(J33)&gt;=40,100,"Введите целое число")))),"Введите целое число или '-'"))</f>
        <v>0</v>
      </c>
      <c r="L33" s="154"/>
      <c r="M33" s="151">
        <f>IF(L33="-",0,IFERROR(IFERROR(VLOOKUP(L33,Атлет!$E$5:$I$104,5,FALSE),(IF(L33&lt;1,0,IF(INT(L33)&gt;=30,100,"Введите целое число")))),"Введите целое число или '-'"))</f>
        <v>0</v>
      </c>
      <c r="N33" s="141"/>
      <c r="O33" s="153">
        <f>IF(N33="-",0,IFERROR(IFERROR(VLOOKUP(N33,Атлет!$F$5:$I$104,4,FALSE),(IF(N33&lt;1,0,IF(INT(N33)&gt;=90,100,"Введите целое число")))),"Введите целое число или '-'"))</f>
        <v>0</v>
      </c>
      <c r="P33" s="140"/>
      <c r="Q33" s="151">
        <f>IF(P33="-",0,IFERROR(IFERROR(VLOOKUP(P33,Атлет!$G$5:$I$104,3,FALSE),(IF(P33&lt;1,0,IF(INT(P33)&gt;=100,100,"Введите целое число")))),"Введите целое число или '-'"))</f>
        <v>0</v>
      </c>
      <c r="R33" s="156"/>
      <c r="S33" s="149">
        <f t="array" ref="S33">IF(R33=0,0,IF(MIN(IF(Атлет!$H$5:$H$104&gt;=R33,Атлет!$H$5:$H$104))=0,0,VLOOKUP(MIN(IF(Атлет!$H$5:$H$104&gt;=R33,Атлет!$H$5:$H$104)),Атлет!$H$5:$I$104,2)))</f>
        <v>0</v>
      </c>
      <c r="T33" s="157">
        <f>S33+Q33+O33+M33+K33+I33+G33</f>
        <v>0</v>
      </c>
      <c r="U33" s="144" t="str">
        <f>IF(T33&lt;=0, "", RANK(T33,$T$5:$T$104,0))</f>
        <v/>
      </c>
    </row>
    <row r="34" spans="1:21" ht="20.100000000000001" customHeight="1" x14ac:dyDescent="0.2">
      <c r="A34" s="145">
        <v>30</v>
      </c>
      <c r="B34" s="146"/>
      <c r="C34" s="159"/>
      <c r="D34" s="162" t="s">
        <v>168</v>
      </c>
      <c r="E34" s="133" t="s">
        <v>122</v>
      </c>
      <c r="F34" s="134"/>
      <c r="G34" s="149">
        <f>IF(F34="-",0,IFERROR(IFERROR(VLOOKUP(F34,Атлет!$B$5:$I$104,8,FALSE),(IF(F34&lt;1,0,IF(INT(F34)&gt;=25,100,"Введите целое число")))),"Введите целое число или '-'"))</f>
        <v>0</v>
      </c>
      <c r="H34" s="136"/>
      <c r="I34" s="151">
        <f t="array" ref="I34">IF(H34=0,0,IF(MIN(IF(Атлет!$C$5:$C$104&gt;=H34,Атлет!$C$5:$C$104))=0,0,VLOOKUP(MIN(IF(Атлет!$C$5:$C$104&gt;=H34,Атлет!$C$5:$C$104)),Атлет!$C$5:$I$104,7)))</f>
        <v>0</v>
      </c>
      <c r="J34" s="152"/>
      <c r="K34" s="153">
        <f>IF(J34="-",0,IFERROR(IFERROR(VLOOKUP(J34,Атлет!$D$5:$I$104,6,FALSE),(IF(J34&lt;1,0,IF(INT(J34)&gt;=40,100,"Введите целое число")))),"Введите целое число или '-'"))</f>
        <v>0</v>
      </c>
      <c r="L34" s="154"/>
      <c r="M34" s="151">
        <f>IF(L34="-",0,IFERROR(IFERROR(VLOOKUP(L34,Атлет!$E$5:$I$104,5,FALSE),(IF(L34&lt;1,0,IF(INT(L34)&gt;=30,100,"Введите целое число")))),"Введите целое число или '-'"))</f>
        <v>0</v>
      </c>
      <c r="N34" s="155"/>
      <c r="O34" s="153">
        <f>IF(N34="-",0,IFERROR(IFERROR(VLOOKUP(N34,Атлет!$F$5:$I$104,4,FALSE),(IF(N34&lt;1,0,IF(INT(N34)&gt;=90,100,"Введите целое число")))),"Введите целое число или '-'"))</f>
        <v>0</v>
      </c>
      <c r="P34" s="154"/>
      <c r="Q34" s="151">
        <f>IF(P34="-",0,IFERROR(IFERROR(VLOOKUP(P34,Атлет!$G$5:$I$104,3,FALSE),(IF(P34&lt;1,0,IF(INT(P34)&gt;=100,100,"Введите целое число")))),"Введите целое число или '-'"))</f>
        <v>0</v>
      </c>
      <c r="R34" s="156"/>
      <c r="S34" s="149">
        <f t="array" ref="S34">IF(R34=0,0,IF(MIN(IF(Атлет!$H$5:$H$104&gt;=R34,Атлет!$H$5:$H$104))=0,0,VLOOKUP(MIN(IF(Атлет!$H$5:$H$104&gt;=R34,Атлет!$H$5:$H$104)),Атлет!$H$5:$I$104,2)))</f>
        <v>0</v>
      </c>
      <c r="T34" s="157">
        <f>S34+Q34+O34+M34+K34+I34+G34</f>
        <v>0</v>
      </c>
      <c r="U34" s="144" t="str">
        <f>IF(T34&lt;=0, "", RANK(T34,$T$5:$T$104,0))</f>
        <v/>
      </c>
    </row>
    <row r="35" spans="1:21" ht="20.100000000000001" customHeight="1" x14ac:dyDescent="0.3">
      <c r="A35" s="132">
        <v>31</v>
      </c>
      <c r="B35" s="146"/>
      <c r="C35" s="159"/>
      <c r="D35" s="160" t="s">
        <v>172</v>
      </c>
      <c r="E35" s="133" t="s">
        <v>122</v>
      </c>
      <c r="F35" s="148"/>
      <c r="G35" s="149">
        <f>IF(F35="-",0,IFERROR(IFERROR(VLOOKUP(F35,Атлет!$B$5:$I$104,8,FALSE),(IF(F35&lt;1,0,IF(INT(F35)&gt;=25,100,"Введите целое число")))),"Введите целое число или '-'"))</f>
        <v>0</v>
      </c>
      <c r="H35" s="136"/>
      <c r="I35" s="151">
        <f t="array" ref="I35">IF(H35=0,0,IF(MIN(IF(Атлет!$C$5:$C$104&gt;=H35,Атлет!$C$5:$C$104))=0,0,VLOOKUP(MIN(IF(Атлет!$C$5:$C$104&gt;=H35,Атлет!$C$5:$C$104)),Атлет!$C$5:$I$104,7)))</f>
        <v>0</v>
      </c>
      <c r="J35" s="152"/>
      <c r="K35" s="153">
        <f>IF(J35="-",0,IFERROR(IFERROR(VLOOKUP(J35,Атлет!$D$5:$I$104,6,FALSE),(IF(J35&lt;1,0,IF(INT(J35)&gt;=40,100,"Введите целое число")))),"Введите целое число или '-'"))</f>
        <v>0</v>
      </c>
      <c r="L35" s="140"/>
      <c r="M35" s="151">
        <f>IF(L35="-",0,IFERROR(IFERROR(VLOOKUP(L35,Атлет!$E$5:$I$104,5,FALSE),(IF(L35&lt;1,0,IF(INT(L35)&gt;=30,100,"Введите целое число")))),"Введите целое число или '-'"))</f>
        <v>0</v>
      </c>
      <c r="N35" s="141"/>
      <c r="O35" s="153">
        <f>IF(N35="-",0,IFERROR(IFERROR(VLOOKUP(N35,Атлет!$F$5:$I$104,4,FALSE),(IF(N35&lt;1,0,IF(INT(N35)&gt;=90,100,"Введите целое число")))),"Введите целое число или '-'"))</f>
        <v>0</v>
      </c>
      <c r="P35" s="140"/>
      <c r="Q35" s="151">
        <f>IF(P35="-",0,IFERROR(IFERROR(VLOOKUP(P35,Атлет!$G$5:$I$104,3,FALSE),(IF(P35&lt;1,0,IF(INT(P35)&gt;=100,100,"Введите целое число")))),"Введите целое число или '-'"))</f>
        <v>0</v>
      </c>
      <c r="R35" s="142"/>
      <c r="S35" s="149">
        <f t="array" ref="S35">IF(R35=0,0,IF(MIN(IF(Атлет!$H$5:$H$104&gt;=R35,Атлет!$H$5:$H$104))=0,0,VLOOKUP(MIN(IF(Атлет!$H$5:$H$104&gt;=R35,Атлет!$H$5:$H$104)),Атлет!$H$5:$I$104,2)))</f>
        <v>0</v>
      </c>
      <c r="T35" s="157">
        <f>S35+Q35+O35+M35+K35+I35+G35</f>
        <v>0</v>
      </c>
      <c r="U35" s="144" t="str">
        <f>IF(T35&lt;=0, "", RANK(T35,$T$5:$T$104,0))</f>
        <v/>
      </c>
    </row>
    <row r="36" spans="1:21" ht="20.100000000000001" customHeight="1" x14ac:dyDescent="0.2">
      <c r="A36" s="145">
        <v>32</v>
      </c>
      <c r="B36" s="159"/>
      <c r="C36" s="146"/>
      <c r="D36" s="162" t="s">
        <v>167</v>
      </c>
      <c r="E36" s="133" t="s">
        <v>122</v>
      </c>
      <c r="F36" s="134"/>
      <c r="G36" s="149">
        <f>IF(F36="-",0,IFERROR(IFERROR(VLOOKUP(F36,Атлет!$B$5:$I$104,8,FALSE),(IF(F36&lt;1,0,IF(INT(F36)&gt;=25,100,"Введите целое число")))),"Введите целое число или '-'"))</f>
        <v>0</v>
      </c>
      <c r="H36" s="136"/>
      <c r="I36" s="151">
        <f t="array" ref="I36">IF(H36=0,0,IF(MIN(IF(Атлет!$C$5:$C$104&gt;=H36,Атлет!$C$5:$C$104))=0,0,VLOOKUP(MIN(IF(Атлет!$C$5:$C$104&gt;=H36,Атлет!$C$5:$C$104)),Атлет!$C$5:$I$104,7)))</f>
        <v>0</v>
      </c>
      <c r="J36" s="152"/>
      <c r="K36" s="153">
        <f>IF(J36="-",0,IFERROR(IFERROR(VLOOKUP(J36,Атлет!$D$5:$I$104,6,FALSE),(IF(J36&lt;1,0,IF(INT(J36)&gt;=40,100,"Введите целое число")))),"Введите целое число или '-'"))</f>
        <v>0</v>
      </c>
      <c r="L36" s="154"/>
      <c r="M36" s="151">
        <f>IF(L36="-",0,IFERROR(IFERROR(VLOOKUP(L36,Атлет!$E$5:$I$104,5,FALSE),(IF(L36&lt;1,0,IF(INT(L36)&gt;=30,100,"Введите целое число")))),"Введите целое число или '-'"))</f>
        <v>0</v>
      </c>
      <c r="N36" s="155"/>
      <c r="O36" s="153">
        <f>IF(N36="-",0,IFERROR(IFERROR(VLOOKUP(N36,Атлет!$F$5:$I$104,4,FALSE),(IF(N36&lt;1,0,IF(INT(N36)&gt;=90,100,"Введите целое число")))),"Введите целое число или '-'"))</f>
        <v>0</v>
      </c>
      <c r="P36" s="154"/>
      <c r="Q36" s="151">
        <f>IF(P36="-",0,IFERROR(IFERROR(VLOOKUP(P36,Атлет!$G$5:$I$104,3,FALSE),(IF(P36&lt;1,0,IF(INT(P36)&gt;=100,100,"Введите целое число")))),"Введите целое число или '-'"))</f>
        <v>0</v>
      </c>
      <c r="R36" s="156"/>
      <c r="S36" s="149">
        <f t="array" ref="S36">IF(R36=0,0,IF(MIN(IF(Атлет!$H$5:$H$104&gt;=R36,Атлет!$H$5:$H$104))=0,0,VLOOKUP(MIN(IF(Атлет!$H$5:$H$104&gt;=R36,Атлет!$H$5:$H$104)),Атлет!$H$5:$I$104,2)))</f>
        <v>0</v>
      </c>
      <c r="T36" s="157">
        <f>S36+Q36+O36+M36+K36+I36+G36</f>
        <v>0</v>
      </c>
      <c r="U36" s="144" t="str">
        <f>IF(T36&lt;=0, "", RANK(T36,$T$5:$T$104,0))</f>
        <v/>
      </c>
    </row>
    <row r="37" spans="1:21" ht="20.100000000000001" customHeight="1" x14ac:dyDescent="0.3">
      <c r="A37" s="145">
        <v>33</v>
      </c>
      <c r="B37" s="146"/>
      <c r="C37" s="146"/>
      <c r="D37" s="160" t="s">
        <v>170</v>
      </c>
      <c r="E37" s="133" t="s">
        <v>122</v>
      </c>
      <c r="F37" s="148"/>
      <c r="G37" s="149">
        <f>IF(F37="-",0,IFERROR(IFERROR(VLOOKUP(F37,Атлет!$B$5:$I$104,8,FALSE),(IF(F37&lt;1,0,IF(INT(F37)&gt;=25,100,"Введите целое число")))),"Введите целое число или '-'"))</f>
        <v>0</v>
      </c>
      <c r="H37" s="136"/>
      <c r="I37" s="151">
        <f t="array" ref="I37">IF(H37=0,0,IF(MIN(IF(Атлет!$C$5:$C$104&gt;=H37,Атлет!$C$5:$C$104))=0,0,VLOOKUP(MIN(IF(Атлет!$C$5:$C$104&gt;=H37,Атлет!$C$5:$C$104)),Атлет!$C$5:$I$104,7)))</f>
        <v>0</v>
      </c>
      <c r="J37" s="138"/>
      <c r="K37" s="153">
        <f>IF(J37="-",0,IFERROR(IFERROR(VLOOKUP(J37,Атлет!$D$5:$I$104,6,FALSE),(IF(J37&lt;1,0,IF(INT(J37)&gt;=40,100,"Введите целое число")))),"Введите целое число или '-'"))</f>
        <v>0</v>
      </c>
      <c r="L37" s="154"/>
      <c r="M37" s="151">
        <f>IF(L37="-",0,IFERROR(IFERROR(VLOOKUP(L37,Атлет!$E$5:$I$104,5,FALSE),(IF(L37&lt;1,0,IF(INT(L37)&gt;=30,100,"Введите целое число")))),"Введите целое число или '-'"))</f>
        <v>0</v>
      </c>
      <c r="N37" s="141"/>
      <c r="O37" s="153">
        <f>IF(N37="-",0,IFERROR(IFERROR(VLOOKUP(N37,Атлет!$F$5:$I$104,4,FALSE),(IF(N37&lt;1,0,IF(INT(N37)&gt;=90,100,"Введите целое число")))),"Введите целое число или '-'"))</f>
        <v>0</v>
      </c>
      <c r="P37" s="140"/>
      <c r="Q37" s="151">
        <f>IF(P37="-",0,IFERROR(IFERROR(VLOOKUP(P37,Атлет!$G$5:$I$104,3,FALSE),(IF(P37&lt;1,0,IF(INT(P37)&gt;=100,100,"Введите целое число")))),"Введите целое число или '-'"))</f>
        <v>0</v>
      </c>
      <c r="R37" s="156"/>
      <c r="S37" s="149">
        <f t="array" ref="S37">IF(R37=0,0,IF(MIN(IF(Атлет!$H$5:$H$104&gt;=R37,Атлет!$H$5:$H$104))=0,0,VLOOKUP(MIN(IF(Атлет!$H$5:$H$104&gt;=R37,Атлет!$H$5:$H$104)),Атлет!$H$5:$I$104,2)))</f>
        <v>0</v>
      </c>
      <c r="T37" s="157">
        <f>S37+Q37+O37+M37+K37+I37+G37</f>
        <v>0</v>
      </c>
      <c r="U37" s="144" t="str">
        <f>IF(T37&lt;=0, "", RANK(T37,$T$5:$T$104,0))</f>
        <v/>
      </c>
    </row>
    <row r="38" spans="1:21" ht="20.100000000000001" customHeight="1" x14ac:dyDescent="0.3">
      <c r="A38" s="132">
        <v>34</v>
      </c>
      <c r="B38" s="146"/>
      <c r="C38" s="146"/>
      <c r="D38" s="160" t="s">
        <v>171</v>
      </c>
      <c r="E38" s="133" t="s">
        <v>122</v>
      </c>
      <c r="F38" s="134"/>
      <c r="G38" s="149">
        <f>IF(F38="-",0,IFERROR(IFERROR(VLOOKUP(F38,Атлет!$B$5:$I$104,8,FALSE),(IF(F38&lt;1,0,IF(INT(F38)&gt;=25,100,"Введите целое число")))),"Введите целое число или '-'"))</f>
        <v>0</v>
      </c>
      <c r="H38" s="136"/>
      <c r="I38" s="151">
        <f t="array" ref="I38">IF(H38=0,0,IF(MIN(IF(Атлет!$C$5:$C$104&gt;=H38,Атлет!$C$5:$C$104))=0,0,VLOOKUP(MIN(IF(Атлет!$C$5:$C$104&gt;=H38,Атлет!$C$5:$C$104)),Атлет!$C$5:$I$104,7)))</f>
        <v>0</v>
      </c>
      <c r="J38" s="152"/>
      <c r="K38" s="153">
        <f>IF(J38="-",0,IFERROR(IFERROR(VLOOKUP(J38,Атлет!$D$5:$I$104,6,FALSE),(IF(J38&lt;1,0,IF(INT(J38)&gt;=40,100,"Введите целое число")))),"Введите целое число или '-'"))</f>
        <v>0</v>
      </c>
      <c r="L38" s="140"/>
      <c r="M38" s="151">
        <f>IF(L38="-",0,IFERROR(IFERROR(VLOOKUP(L38,Атлет!$E$5:$I$104,5,FALSE),(IF(L38&lt;1,0,IF(INT(L38)&gt;=30,100,"Введите целое число")))),"Введите целое число или '-'"))</f>
        <v>0</v>
      </c>
      <c r="N38" s="155"/>
      <c r="O38" s="153">
        <f>IF(N38="-",0,IFERROR(IFERROR(VLOOKUP(N38,Атлет!$F$5:$I$104,4,FALSE),(IF(N38&lt;1,0,IF(INT(N38)&gt;=90,100,"Введите целое число")))),"Введите целое число или '-'"))</f>
        <v>0</v>
      </c>
      <c r="P38" s="154"/>
      <c r="Q38" s="151">
        <f>IF(P38="-",0,IFERROR(IFERROR(VLOOKUP(P38,Атлет!$G$5:$I$104,3,FALSE),(IF(P38&lt;1,0,IF(INT(P38)&gt;=100,100,"Введите целое число")))),"Введите целое число или '-'"))</f>
        <v>0</v>
      </c>
      <c r="R38" s="142"/>
      <c r="S38" s="149">
        <f t="array" ref="S38">IF(R38=0,0,IF(MIN(IF(Атлет!$H$5:$H$104&gt;=R38,Атлет!$H$5:$H$104))=0,0,VLOOKUP(MIN(IF(Атлет!$H$5:$H$104&gt;=R38,Атлет!$H$5:$H$104)),Атлет!$H$5:$I$104,2)))</f>
        <v>0</v>
      </c>
      <c r="T38" s="157">
        <f>S38+Q38+O38+M38+K38+I38+G38</f>
        <v>0</v>
      </c>
      <c r="U38" s="144" t="str">
        <f>IF(T38&lt;=0, "", RANK(T38,$T$5:$T$104,0))</f>
        <v/>
      </c>
    </row>
    <row r="39" spans="1:21" ht="20.100000000000001" customHeight="1" x14ac:dyDescent="0.2">
      <c r="A39" s="145">
        <v>35</v>
      </c>
      <c r="B39" s="159"/>
      <c r="C39" s="146"/>
      <c r="D39" s="147" t="s">
        <v>150</v>
      </c>
      <c r="E39" s="133" t="s">
        <v>123</v>
      </c>
      <c r="F39" s="148"/>
      <c r="G39" s="149">
        <f>IF(F39="-",0,IFERROR(IFERROR(VLOOKUP(F39,Атлет!$B$5:$I$104,8,FALSE),(IF(F39&lt;1,0,IF(INT(F39)&gt;=25,100,"Введите целое число")))),"Введите целое число или '-'"))</f>
        <v>0</v>
      </c>
      <c r="H39" s="136"/>
      <c r="I39" s="151">
        <f t="array" ref="I39">IF(H39=0,0,IF(MIN(IF(Атлет!$C$5:$C$104&gt;=H39,Атлет!$C$5:$C$104))=0,0,VLOOKUP(MIN(IF(Атлет!$C$5:$C$104&gt;=H39,Атлет!$C$5:$C$104)),Атлет!$C$5:$I$104,7)))</f>
        <v>0</v>
      </c>
      <c r="J39" s="152"/>
      <c r="K39" s="153">
        <f>IF(J39="-",0,IFERROR(IFERROR(VLOOKUP(J39,Атлет!$D$5:$I$104,6,FALSE),(IF(J39&lt;1,0,IF(INT(J39)&gt;=40,100,"Введите целое число")))),"Введите целое число или '-'"))</f>
        <v>0</v>
      </c>
      <c r="L39" s="154"/>
      <c r="M39" s="151">
        <f>IF(L39="-",0,IFERROR(IFERROR(VLOOKUP(L39,Атлет!$E$5:$I$104,5,FALSE),(IF(L39&lt;1,0,IF(INT(L39)&gt;=30,100,"Введите целое число")))),"Введите целое число или '-'"))</f>
        <v>0</v>
      </c>
      <c r="N39" s="141"/>
      <c r="O39" s="153">
        <f>IF(N39="-",0,IFERROR(IFERROR(VLOOKUP(N39,Атлет!$F$5:$I$104,4,FALSE),(IF(N39&lt;1,0,IF(INT(N39)&gt;=90,100,"Введите целое число")))),"Введите целое число или '-'"))</f>
        <v>0</v>
      </c>
      <c r="P39" s="140"/>
      <c r="Q39" s="151">
        <f>IF(P39="-",0,IFERROR(IFERROR(VLOOKUP(P39,Атлет!$G$5:$I$104,3,FALSE),(IF(P39&lt;1,0,IF(INT(P39)&gt;=100,100,"Введите целое число")))),"Введите целое число или '-'"))</f>
        <v>0</v>
      </c>
      <c r="R39" s="156"/>
      <c r="S39" s="149">
        <f t="array" ref="S39">IF(R39=0,0,IF(MIN(IF(Атлет!$H$5:$H$104&gt;=R39,Атлет!$H$5:$H$104))=0,0,VLOOKUP(MIN(IF(Атлет!$H$5:$H$104&gt;=R39,Атлет!$H$5:$H$104)),Атлет!$H$5:$I$104,2)))</f>
        <v>0</v>
      </c>
      <c r="T39" s="157">
        <f>S39+Q39+O39+M39+K39+I39+G39</f>
        <v>0</v>
      </c>
      <c r="U39" s="144" t="str">
        <f>IF(T39&lt;=0, "", RANK(T39,$T$5:$T$104,0))</f>
        <v/>
      </c>
    </row>
    <row r="40" spans="1:21" ht="20.100000000000001" customHeight="1" x14ac:dyDescent="0.2">
      <c r="A40" s="145">
        <v>36</v>
      </c>
      <c r="B40" s="146"/>
      <c r="C40" s="146"/>
      <c r="D40" s="158" t="s">
        <v>148</v>
      </c>
      <c r="E40" s="133" t="s">
        <v>123</v>
      </c>
      <c r="F40" s="134"/>
      <c r="G40" s="149">
        <f>IF(F40="-",0,IFERROR(IFERROR(VLOOKUP(F40,Атлет!$B$5:$I$104,8,FALSE),(IF(F40&lt;1,0,IF(INT(F40)&gt;=25,100,"Введите целое число")))),"Введите целое число или '-'"))</f>
        <v>0</v>
      </c>
      <c r="H40" s="136"/>
      <c r="I40" s="151">
        <f t="array" ref="I40">IF(H40=0,0,IF(MIN(IF(Атлет!$C$5:$C$104&gt;=H40,Атлет!$C$5:$C$104))=0,0,VLOOKUP(MIN(IF(Атлет!$C$5:$C$104&gt;=H40,Атлет!$C$5:$C$104)),Атлет!$C$5:$I$104,7)))</f>
        <v>0</v>
      </c>
      <c r="J40" s="152"/>
      <c r="K40" s="153">
        <f>IF(J40="-",0,IFERROR(IFERROR(VLOOKUP(J40,Атлет!$D$5:$I$104,6,FALSE),(IF(J40&lt;1,0,IF(INT(J40)&gt;=40,100,"Введите целое число")))),"Введите целое число или '-'"))</f>
        <v>0</v>
      </c>
      <c r="L40" s="154"/>
      <c r="M40" s="151">
        <f>IF(L40="-",0,IFERROR(IFERROR(VLOOKUP(L40,Атлет!$E$5:$I$104,5,FALSE),(IF(L40&lt;1,0,IF(INT(L40)&gt;=30,100,"Введите целое число")))),"Введите целое число или '-'"))</f>
        <v>0</v>
      </c>
      <c r="N40" s="155"/>
      <c r="O40" s="153">
        <f>IF(N40="-",0,IFERROR(IFERROR(VLOOKUP(N40,Атлет!$F$5:$I$104,4,FALSE),(IF(N40&lt;1,0,IF(INT(N40)&gt;=90,100,"Введите целое число")))),"Введите целое число или '-'"))</f>
        <v>0</v>
      </c>
      <c r="P40" s="154"/>
      <c r="Q40" s="151">
        <f>IF(P40="-",0,IFERROR(IFERROR(VLOOKUP(P40,Атлет!$G$5:$I$104,3,FALSE),(IF(P40&lt;1,0,IF(INT(P40)&gt;=100,100,"Введите целое число")))),"Введите целое число или '-'"))</f>
        <v>0</v>
      </c>
      <c r="R40" s="156"/>
      <c r="S40" s="149">
        <f t="array" ref="S40">IF(R40=0,0,IF(MIN(IF(Атлет!$H$5:$H$104&gt;=R40,Атлет!$H$5:$H$104))=0,0,VLOOKUP(MIN(IF(Атлет!$H$5:$H$104&gt;=R40,Атлет!$H$5:$H$104)),Атлет!$H$5:$I$104,2)))</f>
        <v>0</v>
      </c>
      <c r="T40" s="157">
        <f>S40+Q40+O40+M40+K40+I40+G40</f>
        <v>0</v>
      </c>
      <c r="U40" s="144" t="str">
        <f>IF(T40&lt;=0, "", RANK(T40,$T$5:$T$104,0))</f>
        <v/>
      </c>
    </row>
    <row r="41" spans="1:21" ht="20.100000000000001" customHeight="1" x14ac:dyDescent="0.2">
      <c r="A41" s="132">
        <v>37</v>
      </c>
      <c r="B41" s="159"/>
      <c r="C41" s="159"/>
      <c r="D41" s="158" t="s">
        <v>149</v>
      </c>
      <c r="E41" s="133" t="s">
        <v>123</v>
      </c>
      <c r="F41" s="148"/>
      <c r="G41" s="149">
        <f>IF(F41="-",0,IFERROR(IFERROR(VLOOKUP(F41,Атлет!$B$5:$I$104,8,FALSE),(IF(F41&lt;1,0,IF(INT(F41)&gt;=25,100,"Введите целое число")))),"Введите целое число или '-'"))</f>
        <v>0</v>
      </c>
      <c r="H41" s="136"/>
      <c r="I41" s="151">
        <f t="array" ref="I41">IF(H41=0,0,IF(MIN(IF(Атлет!$C$5:$C$104&gt;=H41,Атлет!$C$5:$C$104))=0,0,VLOOKUP(MIN(IF(Атлет!$C$5:$C$104&gt;=H41,Атлет!$C$5:$C$104)),Атлет!$C$5:$I$104,7)))</f>
        <v>0</v>
      </c>
      <c r="J41" s="138"/>
      <c r="K41" s="153">
        <f>IF(J41="-",0,IFERROR(IFERROR(VLOOKUP(J41,Атлет!$D$5:$I$104,6,FALSE),(IF(J41&lt;1,0,IF(INT(J41)&gt;=40,100,"Введите целое число")))),"Введите целое число или '-'"))</f>
        <v>0</v>
      </c>
      <c r="L41" s="140"/>
      <c r="M41" s="151">
        <f>IF(L41="-",0,IFERROR(IFERROR(VLOOKUP(L41,Атлет!$E$5:$I$104,5,FALSE),(IF(L41&lt;1,0,IF(INT(L41)&gt;=30,100,"Введите целое число")))),"Введите целое число или '-'"))</f>
        <v>0</v>
      </c>
      <c r="N41" s="141"/>
      <c r="O41" s="153">
        <f>IF(N41="-",0,IFERROR(IFERROR(VLOOKUP(N41,Атлет!$F$5:$I$104,4,FALSE),(IF(N41&lt;1,0,IF(INT(N41)&gt;=90,100,"Введите целое число")))),"Введите целое число или '-'"))</f>
        <v>0</v>
      </c>
      <c r="P41" s="140"/>
      <c r="Q41" s="151">
        <f>IF(P41="-",0,IFERROR(IFERROR(VLOOKUP(P41,Атлет!$G$5:$I$104,3,FALSE),(IF(P41&lt;1,0,IF(INT(P41)&gt;=100,100,"Введите целое число")))),"Введите целое число или '-'"))</f>
        <v>0</v>
      </c>
      <c r="R41" s="142"/>
      <c r="S41" s="149">
        <f t="array" ref="S41">IF(R41=0,0,IF(MIN(IF(Атлет!$H$5:$H$104&gt;=R41,Атлет!$H$5:$H$104))=0,0,VLOOKUP(MIN(IF(Атлет!$H$5:$H$104&gt;=R41,Атлет!$H$5:$H$104)),Атлет!$H$5:$I$104,2)))</f>
        <v>0</v>
      </c>
      <c r="T41" s="157">
        <f>S41+Q41+O41+M41+K41+I41+G41</f>
        <v>0</v>
      </c>
      <c r="U41" s="144" t="str">
        <f>IF(T41&lt;=0, "", RANK(T41,$T$5:$T$104,0))</f>
        <v/>
      </c>
    </row>
    <row r="42" spans="1:21" ht="20.100000000000001" customHeight="1" x14ac:dyDescent="0.3">
      <c r="A42" s="145">
        <v>38</v>
      </c>
      <c r="B42" s="146"/>
      <c r="C42" s="159"/>
      <c r="D42" s="160" t="s">
        <v>146</v>
      </c>
      <c r="E42" s="133" t="s">
        <v>123</v>
      </c>
      <c r="F42" s="134"/>
      <c r="G42" s="149">
        <f>IF(F42="-",0,IFERROR(IFERROR(VLOOKUP(F42,Атлет!$B$5:$I$104,8,FALSE),(IF(F42&lt;1,0,IF(INT(F42)&gt;=25,100,"Введите целое число")))),"Введите целое число или '-'"))</f>
        <v>0</v>
      </c>
      <c r="H42" s="136"/>
      <c r="I42" s="151">
        <f t="array" ref="I42">IF(H42=0,0,IF(MIN(IF(Атлет!$C$5:$C$104&gt;=H42,Атлет!$C$5:$C$104))=0,0,VLOOKUP(MIN(IF(Атлет!$C$5:$C$104&gt;=H42,Атлет!$C$5:$C$104)),Атлет!$C$5:$I$104,7)))</f>
        <v>0</v>
      </c>
      <c r="J42" s="152"/>
      <c r="K42" s="153">
        <f>IF(J42="-",0,IFERROR(IFERROR(VLOOKUP(J42,Атлет!$D$5:$I$104,6,FALSE),(IF(J42&lt;1,0,IF(INT(J42)&gt;=40,100,"Введите целое число")))),"Введите целое число или '-'"))</f>
        <v>0</v>
      </c>
      <c r="L42" s="154"/>
      <c r="M42" s="151">
        <f>IF(L42="-",0,IFERROR(IFERROR(VLOOKUP(L42,Атлет!$E$5:$I$104,5,FALSE),(IF(L42&lt;1,0,IF(INT(L42)&gt;=30,100,"Введите целое число")))),"Введите целое число или '-'"))</f>
        <v>0</v>
      </c>
      <c r="N42" s="155"/>
      <c r="O42" s="153">
        <f>IF(N42="-",0,IFERROR(IFERROR(VLOOKUP(N42,Атлет!$F$5:$I$104,4,FALSE),(IF(N42&lt;1,0,IF(INT(N42)&gt;=90,100,"Введите целое число")))),"Введите целое число или '-'"))</f>
        <v>0</v>
      </c>
      <c r="P42" s="154"/>
      <c r="Q42" s="151">
        <f>IF(P42="-",0,IFERROR(IFERROR(VLOOKUP(P42,Атлет!$G$5:$I$104,3,FALSE),(IF(P42&lt;1,0,IF(INT(P42)&gt;=100,100,"Введите целое число")))),"Введите целое число или '-'"))</f>
        <v>0</v>
      </c>
      <c r="R42" s="156"/>
      <c r="S42" s="149">
        <f t="array" ref="S42">IF(R42=0,0,IF(MIN(IF(Атлет!$H$5:$H$104&gt;=R42,Атлет!$H$5:$H$104))=0,0,VLOOKUP(MIN(IF(Атлет!$H$5:$H$104&gt;=R42,Атлет!$H$5:$H$104)),Атлет!$H$5:$I$104,2)))</f>
        <v>0</v>
      </c>
      <c r="T42" s="157">
        <f>S42+Q42+O42+M42+K42+I42+G42</f>
        <v>0</v>
      </c>
      <c r="U42" s="144" t="str">
        <f>IF(T42&lt;=0, "", RANK(T42,$T$5:$T$104,0))</f>
        <v/>
      </c>
    </row>
    <row r="43" spans="1:21" ht="20.100000000000001" customHeight="1" x14ac:dyDescent="0.2">
      <c r="A43" s="145">
        <v>39</v>
      </c>
      <c r="B43" s="159"/>
      <c r="C43" s="146"/>
      <c r="D43" s="147" t="s">
        <v>147</v>
      </c>
      <c r="E43" s="133" t="s">
        <v>123</v>
      </c>
      <c r="F43" s="148"/>
      <c r="G43" s="149">
        <f>IF(F43="-",0,IFERROR(IFERROR(VLOOKUP(F43,Атлет!$B$5:$I$104,8,FALSE),(IF(F43&lt;1,0,IF(INT(F43)&gt;=25,100,"Введите целое число")))),"Введите целое число или '-'"))</f>
        <v>0</v>
      </c>
      <c r="H43" s="136"/>
      <c r="I43" s="151">
        <f t="array" ref="I43">IF(H43=0,0,IF(MIN(IF(Атлет!$C$5:$C$104&gt;=H43,Атлет!$C$5:$C$104))=0,0,VLOOKUP(MIN(IF(Атлет!$C$5:$C$104&gt;=H43,Атлет!$C$5:$C$104)),Атлет!$C$5:$I$104,7)))</f>
        <v>0</v>
      </c>
      <c r="J43" s="152"/>
      <c r="K43" s="153">
        <f>IF(J43="-",0,IFERROR(IFERROR(VLOOKUP(J43,Атлет!$D$5:$I$104,6,FALSE),(IF(J43&lt;1,0,IF(INT(J43)&gt;=40,100,"Введите целое число")))),"Введите целое число или '-'"))</f>
        <v>0</v>
      </c>
      <c r="L43" s="154"/>
      <c r="M43" s="151">
        <f>IF(L43="-",0,IFERROR(IFERROR(VLOOKUP(L43,Атлет!$E$5:$I$104,5,FALSE),(IF(L43&lt;1,0,IF(INT(L43)&gt;=30,100,"Введите целое число")))),"Введите целое число или '-'"))</f>
        <v>0</v>
      </c>
      <c r="N43" s="141"/>
      <c r="O43" s="153">
        <f>IF(N43="-",0,IFERROR(IFERROR(VLOOKUP(N43,Атлет!$F$5:$I$104,4,FALSE),(IF(N43&lt;1,0,IF(INT(N43)&gt;=90,100,"Введите целое число")))),"Введите целое число или '-'"))</f>
        <v>0</v>
      </c>
      <c r="P43" s="140"/>
      <c r="Q43" s="151">
        <f>IF(P43="-",0,IFERROR(IFERROR(VLOOKUP(P43,Атлет!$G$5:$I$104,3,FALSE),(IF(P43&lt;1,0,IF(INT(P43)&gt;=100,100,"Введите целое число")))),"Введите целое число или '-'"))</f>
        <v>0</v>
      </c>
      <c r="R43" s="156"/>
      <c r="S43" s="149">
        <f t="array" ref="S43">IF(R43=0,0,IF(MIN(IF(Атлет!$H$5:$H$104&gt;=R43,Атлет!$H$5:$H$104))=0,0,VLOOKUP(MIN(IF(Атлет!$H$5:$H$104&gt;=R43,Атлет!$H$5:$H$104)),Атлет!$H$5:$I$104,2)))</f>
        <v>0</v>
      </c>
      <c r="T43" s="157">
        <f>S43+Q43+O43+M43+K43+I43+G43</f>
        <v>0</v>
      </c>
      <c r="U43" s="144" t="str">
        <f>IF(T43&lt;=0, "", RANK(T43,$T$5:$T$104,0))</f>
        <v/>
      </c>
    </row>
    <row r="44" spans="1:21" ht="20.100000000000001" customHeight="1" x14ac:dyDescent="0.3">
      <c r="A44" s="132">
        <v>40</v>
      </c>
      <c r="B44" s="159"/>
      <c r="C44" s="159"/>
      <c r="D44" s="160" t="s">
        <v>159</v>
      </c>
      <c r="E44" s="161" t="s">
        <v>124</v>
      </c>
      <c r="F44" s="134"/>
      <c r="G44" s="149">
        <f>IF(F44="-",0,IFERROR(IFERROR(VLOOKUP(F44,Атлет!$B$5:$I$104,8,FALSE),(IF(F44&lt;1,0,IF(INT(F44)&gt;=25,100,"Введите целое число")))),"Введите целое число или '-'"))</f>
        <v>0</v>
      </c>
      <c r="H44" s="136"/>
      <c r="I44" s="151">
        <f t="array" ref="I44">IF(H44=0,0,IF(MIN(IF(Атлет!$C$5:$C$104&gt;=H44,Атлет!$C$5:$C$104))=0,0,VLOOKUP(MIN(IF(Атлет!$C$5:$C$104&gt;=H44,Атлет!$C$5:$C$104)),Атлет!$C$5:$I$104,7)))</f>
        <v>0</v>
      </c>
      <c r="J44" s="152"/>
      <c r="K44" s="153">
        <f>IF(J44="-",0,IFERROR(IFERROR(VLOOKUP(J44,Атлет!$D$5:$I$104,6,FALSE),(IF(J44&lt;1,0,IF(INT(J44)&gt;=40,100,"Введите целое число")))),"Введите целое число или '-'"))</f>
        <v>0</v>
      </c>
      <c r="L44" s="140"/>
      <c r="M44" s="151">
        <f>IF(L44="-",0,IFERROR(IFERROR(VLOOKUP(L44,Атлет!$E$5:$I$104,5,FALSE),(IF(L44&lt;1,0,IF(INT(L44)&gt;=30,100,"Введите целое число")))),"Введите целое число или '-'"))</f>
        <v>0</v>
      </c>
      <c r="N44" s="155"/>
      <c r="O44" s="153">
        <f>IF(N44="-",0,IFERROR(IFERROR(VLOOKUP(N44,Атлет!$F$5:$I$104,4,FALSE),(IF(N44&lt;1,0,IF(INT(N44)&gt;=90,100,"Введите целое число")))),"Введите целое число или '-'"))</f>
        <v>0</v>
      </c>
      <c r="P44" s="154"/>
      <c r="Q44" s="151">
        <f>IF(P44="-",0,IFERROR(IFERROR(VLOOKUP(P44,Атлет!$G$5:$I$104,3,FALSE),(IF(P44&lt;1,0,IF(INT(P44)&gt;=100,100,"Введите целое число")))),"Введите целое число или '-'"))</f>
        <v>0</v>
      </c>
      <c r="R44" s="142"/>
      <c r="S44" s="149">
        <f t="array" ref="S44">IF(R44=0,0,IF(MIN(IF(Атлет!$H$5:$H$104&gt;=R44,Атлет!$H$5:$H$104))=0,0,VLOOKUP(MIN(IF(Атлет!$H$5:$H$104&gt;=R44,Атлет!$H$5:$H$104)),Атлет!$H$5:$I$104,2)))</f>
        <v>0</v>
      </c>
      <c r="T44" s="157">
        <f>S44+Q44+O44+M44+K44+I44+G44</f>
        <v>0</v>
      </c>
      <c r="U44" s="144" t="str">
        <f>IF(T44&lt;=0, "", RANK(T44,$T$5:$T$104,0))</f>
        <v/>
      </c>
    </row>
    <row r="45" spans="1:21" ht="20.100000000000001" customHeight="1" x14ac:dyDescent="0.3">
      <c r="A45" s="145">
        <v>41</v>
      </c>
      <c r="B45" s="146"/>
      <c r="C45" s="146"/>
      <c r="D45" s="160" t="s">
        <v>160</v>
      </c>
      <c r="E45" s="161" t="s">
        <v>124</v>
      </c>
      <c r="F45" s="148"/>
      <c r="G45" s="149">
        <f>IF(F45="-",0,IFERROR(IFERROR(VLOOKUP(F45,Атлет!$B$5:$I$104,8,FALSE),(IF(F45&lt;1,0,IF(INT(F45)&gt;=25,100,"Введите целое число")))),"Введите целое число или '-'"))</f>
        <v>0</v>
      </c>
      <c r="H45" s="136"/>
      <c r="I45" s="151">
        <f t="array" ref="I45">IF(H45=0,0,IF(MIN(IF(Атлет!$C$5:$C$104&gt;=H45,Атлет!$C$5:$C$104))=0,0,VLOOKUP(MIN(IF(Атлет!$C$5:$C$104&gt;=H45,Атлет!$C$5:$C$104)),Атлет!$C$5:$I$104,7)))</f>
        <v>0</v>
      </c>
      <c r="J45" s="138"/>
      <c r="K45" s="153">
        <f>IF(J45="-",0,IFERROR(IFERROR(VLOOKUP(J45,Атлет!$D$5:$I$104,6,FALSE),(IF(J45&lt;1,0,IF(INT(J45)&gt;=40,100,"Введите целое число")))),"Введите целое число или '-'"))</f>
        <v>0</v>
      </c>
      <c r="L45" s="154"/>
      <c r="M45" s="151">
        <f>IF(L45="-",0,IFERROR(IFERROR(VLOOKUP(L45,Атлет!$E$5:$I$104,5,FALSE),(IF(L45&lt;1,0,IF(INT(L45)&gt;=30,100,"Введите целое число")))),"Введите целое число или '-'"))</f>
        <v>0</v>
      </c>
      <c r="N45" s="141"/>
      <c r="O45" s="153">
        <f>IF(N45="-",0,IFERROR(IFERROR(VLOOKUP(N45,Атлет!$F$5:$I$104,4,FALSE),(IF(N45&lt;1,0,IF(INT(N45)&gt;=90,100,"Введите целое число")))),"Введите целое число или '-'"))</f>
        <v>0</v>
      </c>
      <c r="P45" s="140"/>
      <c r="Q45" s="151">
        <f>IF(P45="-",0,IFERROR(IFERROR(VLOOKUP(P45,Атлет!$G$5:$I$104,3,FALSE),(IF(P45&lt;1,0,IF(INT(P45)&gt;=100,100,"Введите целое число")))),"Введите целое число или '-'"))</f>
        <v>0</v>
      </c>
      <c r="R45" s="156"/>
      <c r="S45" s="149">
        <f t="array" ref="S45">IF(R45=0,0,IF(MIN(IF(Атлет!$H$5:$H$104&gt;=R45,Атлет!$H$5:$H$104))=0,0,VLOOKUP(MIN(IF(Атлет!$H$5:$H$104&gt;=R45,Атлет!$H$5:$H$104)),Атлет!$H$5:$I$104,2)))</f>
        <v>0</v>
      </c>
      <c r="T45" s="157">
        <f>S45+Q45+O45+M45+K45+I45+G45</f>
        <v>0</v>
      </c>
      <c r="U45" s="144" t="str">
        <f>IF(T45&lt;=0, "", RANK(T45,$T$5:$T$104,0))</f>
        <v/>
      </c>
    </row>
    <row r="46" spans="1:21" ht="20.100000000000001" customHeight="1" x14ac:dyDescent="0.2">
      <c r="A46" s="145">
        <v>42</v>
      </c>
      <c r="B46" s="159"/>
      <c r="C46" s="146"/>
      <c r="D46" s="158" t="s">
        <v>161</v>
      </c>
      <c r="E46" s="161" t="s">
        <v>124</v>
      </c>
      <c r="F46" s="134"/>
      <c r="G46" s="149">
        <f>IF(F46="-",0,IFERROR(IFERROR(VLOOKUP(F46,Атлет!$B$5:$I$104,8,FALSE),(IF(F46&lt;1,0,IF(INT(F46)&gt;=25,100,"Введите целое число")))),"Введите целое число или '-'"))</f>
        <v>0</v>
      </c>
      <c r="H46" s="136"/>
      <c r="I46" s="151">
        <f t="array" ref="I46">IF(H46=0,0,IF(MIN(IF(Атлет!$C$5:$C$104&gt;=H46,Атлет!$C$5:$C$104))=0,0,VLOOKUP(MIN(IF(Атлет!$C$5:$C$104&gt;=H46,Атлет!$C$5:$C$104)),Атлет!$C$5:$I$104,7)))</f>
        <v>0</v>
      </c>
      <c r="J46" s="152"/>
      <c r="K46" s="153">
        <f>IF(J46="-",0,IFERROR(IFERROR(VLOOKUP(J46,Атлет!$D$5:$I$104,6,FALSE),(IF(J46&lt;1,0,IF(INT(J46)&gt;=40,100,"Введите целое число")))),"Введите целое число или '-'"))</f>
        <v>0</v>
      </c>
      <c r="L46" s="154"/>
      <c r="M46" s="151">
        <f>IF(L46="-",0,IFERROR(IFERROR(VLOOKUP(L46,Атлет!$E$5:$I$104,5,FALSE),(IF(L46&lt;1,0,IF(INT(L46)&gt;=30,100,"Введите целое число")))),"Введите целое число или '-'"))</f>
        <v>0</v>
      </c>
      <c r="N46" s="155"/>
      <c r="O46" s="153">
        <f>IF(N46="-",0,IFERROR(IFERROR(VLOOKUP(N46,Атлет!$F$5:$I$104,4,FALSE),(IF(N46&lt;1,0,IF(INT(N46)&gt;=90,100,"Введите целое число")))),"Введите целое число или '-'"))</f>
        <v>0</v>
      </c>
      <c r="P46" s="154"/>
      <c r="Q46" s="151">
        <f>IF(P46="-",0,IFERROR(IFERROR(VLOOKUP(P46,Атлет!$G$5:$I$104,3,FALSE),(IF(P46&lt;1,0,IF(INT(P46)&gt;=100,100,"Введите целое число")))),"Введите целое число или '-'"))</f>
        <v>0</v>
      </c>
      <c r="R46" s="156"/>
      <c r="S46" s="149">
        <f t="array" ref="S46">IF(R46=0,0,IF(MIN(IF(Атлет!$H$5:$H$104&gt;=R46,Атлет!$H$5:$H$104))=0,0,VLOOKUP(MIN(IF(Атлет!$H$5:$H$104&gt;=R46,Атлет!$H$5:$H$104)),Атлет!$H$5:$I$104,2)))</f>
        <v>0</v>
      </c>
      <c r="T46" s="157">
        <f>S46+Q46+O46+M46+K46+I46+G46</f>
        <v>0</v>
      </c>
      <c r="U46" s="144" t="str">
        <f>IF(T46&lt;=0, "", RANK(T46,$T$5:$T$104,0))</f>
        <v/>
      </c>
    </row>
    <row r="47" spans="1:21" ht="20.100000000000001" customHeight="1" x14ac:dyDescent="0.2">
      <c r="A47" s="132">
        <v>43</v>
      </c>
      <c r="B47" s="146"/>
      <c r="C47" s="146"/>
      <c r="D47" s="158" t="s">
        <v>166</v>
      </c>
      <c r="E47" s="133" t="s">
        <v>126</v>
      </c>
      <c r="F47" s="148"/>
      <c r="G47" s="149">
        <f>IF(F47="-",0,IFERROR(IFERROR(VLOOKUP(F47,Атлет!$B$5:$I$104,8,FALSE),(IF(F47&lt;1,0,IF(INT(F47)&gt;=25,100,"Введите целое число")))),"Введите целое число или '-'"))</f>
        <v>0</v>
      </c>
      <c r="H47" s="136"/>
      <c r="I47" s="151">
        <f t="array" ref="I47">IF(H47=0,0,IF(MIN(IF(Атлет!$C$5:$C$104&gt;=H47,Атлет!$C$5:$C$104))=0,0,VLOOKUP(MIN(IF(Атлет!$C$5:$C$104&gt;=H47,Атлет!$C$5:$C$104)),Атлет!$C$5:$I$104,7)))</f>
        <v>0</v>
      </c>
      <c r="J47" s="152"/>
      <c r="K47" s="153">
        <f>IF(J47="-",0,IFERROR(IFERROR(VLOOKUP(J47,Атлет!$D$5:$I$104,6,FALSE),(IF(J47&lt;1,0,IF(INT(J47)&gt;=40,100,"Введите целое число")))),"Введите целое число или '-'"))</f>
        <v>0</v>
      </c>
      <c r="L47" s="140"/>
      <c r="M47" s="151">
        <f>IF(L47="-",0,IFERROR(IFERROR(VLOOKUP(L47,Атлет!$E$5:$I$104,5,FALSE),(IF(L47&lt;1,0,IF(INT(L47)&gt;=30,100,"Введите целое число")))),"Введите целое число или '-'"))</f>
        <v>0</v>
      </c>
      <c r="N47" s="141"/>
      <c r="O47" s="153">
        <f>IF(N47="-",0,IFERROR(IFERROR(VLOOKUP(N47,Атлет!$F$5:$I$104,4,FALSE),(IF(N47&lt;1,0,IF(INT(N47)&gt;=90,100,"Введите целое число")))),"Введите целое число или '-'"))</f>
        <v>0</v>
      </c>
      <c r="P47" s="140"/>
      <c r="Q47" s="151">
        <f>IF(P47="-",0,IFERROR(IFERROR(VLOOKUP(P47,Атлет!$G$5:$I$104,3,FALSE),(IF(P47&lt;1,0,IF(INT(P47)&gt;=100,100,"Введите целое число")))),"Введите целое число или '-'"))</f>
        <v>0</v>
      </c>
      <c r="R47" s="142"/>
      <c r="S47" s="149">
        <f t="array" ref="S47">IF(R47=0,0,IF(MIN(IF(Атлет!$H$5:$H$104&gt;=R47,Атлет!$H$5:$H$104))=0,0,VLOOKUP(MIN(IF(Атлет!$H$5:$H$104&gt;=R47,Атлет!$H$5:$H$104)),Атлет!$H$5:$I$104,2)))</f>
        <v>0</v>
      </c>
      <c r="T47" s="157">
        <f>S47+Q47+O47+M47+K47+I47+G47</f>
        <v>0</v>
      </c>
      <c r="U47" s="144" t="str">
        <f>IF(T47&lt;=0, "", RANK(T47,$T$5:$T$104,0))</f>
        <v/>
      </c>
    </row>
    <row r="48" spans="1:21" ht="20.100000000000001" customHeight="1" x14ac:dyDescent="0.2">
      <c r="A48" s="145">
        <v>44</v>
      </c>
      <c r="B48" s="159"/>
      <c r="C48" s="159"/>
      <c r="D48" s="158" t="s">
        <v>165</v>
      </c>
      <c r="E48" s="133" t="s">
        <v>126</v>
      </c>
      <c r="F48" s="134"/>
      <c r="G48" s="149">
        <f>IF(F48="-",0,IFERROR(IFERROR(VLOOKUP(F48,Атлет!$B$5:$I$104,8,FALSE),(IF(F48&lt;1,0,IF(INT(F48)&gt;=25,100,"Введите целое число")))),"Введите целое число или '-'"))</f>
        <v>0</v>
      </c>
      <c r="H48" s="136"/>
      <c r="I48" s="151">
        <f t="array" ref="I48">IF(H48=0,0,IF(MIN(IF(Атлет!$C$5:$C$104&gt;=H48,Атлет!$C$5:$C$104))=0,0,VLOOKUP(MIN(IF(Атлет!$C$5:$C$104&gt;=H48,Атлет!$C$5:$C$104)),Атлет!$C$5:$I$104,7)))</f>
        <v>0</v>
      </c>
      <c r="J48" s="152"/>
      <c r="K48" s="153">
        <f>IF(J48="-",0,IFERROR(IFERROR(VLOOKUP(J48,Атлет!$D$5:$I$104,6,FALSE),(IF(J48&lt;1,0,IF(INT(J48)&gt;=40,100,"Введите целое число")))),"Введите целое число или '-'"))</f>
        <v>0</v>
      </c>
      <c r="L48" s="154"/>
      <c r="M48" s="151">
        <f>IF(L48="-",0,IFERROR(IFERROR(VLOOKUP(L48,Атлет!$E$5:$I$104,5,FALSE),(IF(L48&lt;1,0,IF(INT(L48)&gt;=30,100,"Введите целое число")))),"Введите целое число или '-'"))</f>
        <v>0</v>
      </c>
      <c r="N48" s="155"/>
      <c r="O48" s="153">
        <f>IF(N48="-",0,IFERROR(IFERROR(VLOOKUP(N48,Атлет!$F$5:$I$104,4,FALSE),(IF(N48&lt;1,0,IF(INT(N48)&gt;=90,100,"Введите целое число")))),"Введите целое число или '-'"))</f>
        <v>0</v>
      </c>
      <c r="P48" s="154"/>
      <c r="Q48" s="151">
        <f>IF(P48="-",0,IFERROR(IFERROR(VLOOKUP(P48,Атлет!$G$5:$I$104,3,FALSE),(IF(P48&lt;1,0,IF(INT(P48)&gt;=100,100,"Введите целое число")))),"Введите целое число или '-'"))</f>
        <v>0</v>
      </c>
      <c r="R48" s="156"/>
      <c r="S48" s="149">
        <f t="array" ref="S48">IF(R48=0,0,IF(MIN(IF(Атлет!$H$5:$H$104&gt;=R48,Атлет!$H$5:$H$104))=0,0,VLOOKUP(MIN(IF(Атлет!$H$5:$H$104&gt;=R48,Атлет!$H$5:$H$104)),Атлет!$H$5:$I$104,2)))</f>
        <v>0</v>
      </c>
      <c r="T48" s="157">
        <f>S48+Q48+O48+M48+K48+I48+G48</f>
        <v>0</v>
      </c>
      <c r="U48" s="144" t="str">
        <f>IF(T48&lt;=0, "", RANK(T48,$T$5:$T$104,0))</f>
        <v/>
      </c>
    </row>
    <row r="49" spans="1:21" ht="20.100000000000001" customHeight="1" x14ac:dyDescent="0.3">
      <c r="A49" s="145">
        <v>45</v>
      </c>
      <c r="B49" s="146"/>
      <c r="C49" s="146"/>
      <c r="D49" s="160" t="s">
        <v>164</v>
      </c>
      <c r="E49" s="133" t="s">
        <v>126</v>
      </c>
      <c r="F49" s="148"/>
      <c r="G49" s="149">
        <f>IF(F49="-",0,IFERROR(IFERROR(VLOOKUP(F49,Атлет!$B$5:$I$104,8,FALSE),(IF(F49&lt;1,0,IF(INT(F49)&gt;=25,100,"Введите целое число")))),"Введите целое число или '-'"))</f>
        <v>0</v>
      </c>
      <c r="H49" s="136"/>
      <c r="I49" s="151">
        <f t="array" ref="I49">IF(H49=0,0,IF(MIN(IF(Атлет!$C$5:$C$104&gt;=H49,Атлет!$C$5:$C$104))=0,0,VLOOKUP(MIN(IF(Атлет!$C$5:$C$104&gt;=H49,Атлет!$C$5:$C$104)),Атлет!$C$5:$I$104,7)))</f>
        <v>0</v>
      </c>
      <c r="J49" s="138"/>
      <c r="K49" s="153">
        <f>IF(J49="-",0,IFERROR(IFERROR(VLOOKUP(J49,Атлет!$D$5:$I$104,6,FALSE),(IF(J49&lt;1,0,IF(INT(J49)&gt;=40,100,"Введите целое число")))),"Введите целое число или '-'"))</f>
        <v>0</v>
      </c>
      <c r="L49" s="154"/>
      <c r="M49" s="151">
        <f>IF(L49="-",0,IFERROR(IFERROR(VLOOKUP(L49,Атлет!$E$5:$I$104,5,FALSE),(IF(L49&lt;1,0,IF(INT(L49)&gt;=30,100,"Введите целое число")))),"Введите целое число или '-'"))</f>
        <v>0</v>
      </c>
      <c r="N49" s="141"/>
      <c r="O49" s="153">
        <f>IF(N49="-",0,IFERROR(IFERROR(VLOOKUP(N49,Атлет!$F$5:$I$104,4,FALSE),(IF(N49&lt;1,0,IF(INT(N49)&gt;=90,100,"Введите целое число")))),"Введите целое число или '-'"))</f>
        <v>0</v>
      </c>
      <c r="P49" s="140"/>
      <c r="Q49" s="151">
        <f>IF(P49="-",0,IFERROR(IFERROR(VLOOKUP(P49,Атлет!$G$5:$I$104,3,FALSE),(IF(P49&lt;1,0,IF(INT(P49)&gt;=100,100,"Введите целое число")))),"Введите целое число или '-'"))</f>
        <v>0</v>
      </c>
      <c r="R49" s="156"/>
      <c r="S49" s="149">
        <f t="array" ref="S49">IF(R49=0,0,IF(MIN(IF(Атлет!$H$5:$H$104&gt;=R49,Атлет!$H$5:$H$104))=0,0,VLOOKUP(MIN(IF(Атлет!$H$5:$H$104&gt;=R49,Атлет!$H$5:$H$104)),Атлет!$H$5:$I$104,2)))</f>
        <v>0</v>
      </c>
      <c r="T49" s="157">
        <f>S49+Q49+O49+M49+K49+I49+G49</f>
        <v>0</v>
      </c>
      <c r="U49" s="144" t="str">
        <f>IF(T49&lt;=0, "", RANK(T49,$T$5:$T$104,0))</f>
        <v/>
      </c>
    </row>
    <row r="50" spans="1:21" ht="20.100000000000001" customHeight="1" x14ac:dyDescent="0.2">
      <c r="A50" s="132">
        <v>46</v>
      </c>
      <c r="B50" s="159"/>
      <c r="C50" s="146"/>
      <c r="D50" s="158" t="s">
        <v>163</v>
      </c>
      <c r="E50" s="133" t="s">
        <v>126</v>
      </c>
      <c r="F50" s="134"/>
      <c r="G50" s="149">
        <f>IF(F50="-",0,IFERROR(IFERROR(VLOOKUP(F50,Атлет!$B$5:$I$104,8,FALSE),(IF(F50&lt;1,0,IF(INT(F50)&gt;=25,100,"Введите целое число")))),"Введите целое число или '-'"))</f>
        <v>0</v>
      </c>
      <c r="H50" s="136"/>
      <c r="I50" s="151">
        <f t="array" ref="I50">IF(H50=0,0,IF(MIN(IF(Атлет!$C$5:$C$104&gt;=H50,Атлет!$C$5:$C$104))=0,0,VLOOKUP(MIN(IF(Атлет!$C$5:$C$104&gt;=H50,Атлет!$C$5:$C$104)),Атлет!$C$5:$I$104,7)))</f>
        <v>0</v>
      </c>
      <c r="J50" s="152"/>
      <c r="K50" s="153">
        <f>IF(J50="-",0,IFERROR(IFERROR(VLOOKUP(J50,Атлет!$D$5:$I$104,6,FALSE),(IF(J50&lt;1,0,IF(INT(J50)&gt;=40,100,"Введите целое число")))),"Введите целое число или '-'"))</f>
        <v>0</v>
      </c>
      <c r="L50" s="140"/>
      <c r="M50" s="151">
        <f>IF(L50="-",0,IFERROR(IFERROR(VLOOKUP(L50,Атлет!$E$5:$I$104,5,FALSE),(IF(L50&lt;1,0,IF(INT(L50)&gt;=30,100,"Введите целое число")))),"Введите целое число или '-'"))</f>
        <v>0</v>
      </c>
      <c r="N50" s="155"/>
      <c r="O50" s="153">
        <f>IF(N50="-",0,IFERROR(IFERROR(VLOOKUP(N50,Атлет!$F$5:$I$104,4,FALSE),(IF(N50&lt;1,0,IF(INT(N50)&gt;=90,100,"Введите целое число")))),"Введите целое число или '-'"))</f>
        <v>0</v>
      </c>
      <c r="P50" s="154"/>
      <c r="Q50" s="151">
        <f>IF(P50="-",0,IFERROR(IFERROR(VLOOKUP(P50,Атлет!$G$5:$I$104,3,FALSE),(IF(P50&lt;1,0,IF(INT(P50)&gt;=100,100,"Введите целое число")))),"Введите целое число или '-'"))</f>
        <v>0</v>
      </c>
      <c r="R50" s="142"/>
      <c r="S50" s="149">
        <f t="array" ref="S50">IF(R50=0,0,IF(MIN(IF(Атлет!$H$5:$H$104&gt;=R50,Атлет!$H$5:$H$104))=0,0,VLOOKUP(MIN(IF(Атлет!$H$5:$H$104&gt;=R50,Атлет!$H$5:$H$104)),Атлет!$H$5:$I$104,2)))</f>
        <v>0</v>
      </c>
      <c r="T50" s="157">
        <f>S50+Q50+O50+M50+K50+I50+G50</f>
        <v>0</v>
      </c>
      <c r="U50" s="144" t="str">
        <f>IF(T50&lt;=0, "", RANK(T50,$T$5:$T$104,0))</f>
        <v/>
      </c>
    </row>
    <row r="51" spans="1:21" ht="20.100000000000001" customHeight="1" x14ac:dyDescent="0.3">
      <c r="A51" s="145">
        <v>47</v>
      </c>
      <c r="B51" s="146"/>
      <c r="C51" s="159"/>
      <c r="D51" s="160" t="s">
        <v>162</v>
      </c>
      <c r="E51" s="133" t="s">
        <v>126</v>
      </c>
      <c r="F51" s="148"/>
      <c r="G51" s="149">
        <f>IF(F51="-",0,IFERROR(IFERROR(VLOOKUP(F51,Атлет!$B$5:$I$104,8,FALSE),(IF(F51&lt;1,0,IF(INT(F51)&gt;=25,100,"Введите целое число")))),"Введите целое число или '-'"))</f>
        <v>0</v>
      </c>
      <c r="H51" s="136"/>
      <c r="I51" s="151">
        <f t="array" ref="I51">IF(H51=0,0,IF(MIN(IF(Атлет!$C$5:$C$104&gt;=H51,Атлет!$C$5:$C$104))=0,0,VLOOKUP(MIN(IF(Атлет!$C$5:$C$104&gt;=H51,Атлет!$C$5:$C$104)),Атлет!$C$5:$I$104,7)))</f>
        <v>0</v>
      </c>
      <c r="J51" s="152"/>
      <c r="K51" s="153">
        <f>IF(J51="-",0,IFERROR(IFERROR(VLOOKUP(J51,Атлет!$D$5:$I$104,6,FALSE),(IF(J51&lt;1,0,IF(INT(J51)&gt;=40,100,"Введите целое число")))),"Введите целое число или '-'"))</f>
        <v>0</v>
      </c>
      <c r="L51" s="154"/>
      <c r="M51" s="151">
        <f>IF(L51="-",0,IFERROR(IFERROR(VLOOKUP(L51,Атлет!$E$5:$I$104,5,FALSE),(IF(L51&lt;1,0,IF(INT(L51)&gt;=30,100,"Введите целое число")))),"Введите целое число или '-'"))</f>
        <v>0</v>
      </c>
      <c r="N51" s="141"/>
      <c r="O51" s="153">
        <f>IF(N51="-",0,IFERROR(IFERROR(VLOOKUP(N51,Атлет!$F$5:$I$104,4,FALSE),(IF(N51&lt;1,0,IF(INT(N51)&gt;=90,100,"Введите целое число")))),"Введите целое число или '-'"))</f>
        <v>0</v>
      </c>
      <c r="P51" s="140"/>
      <c r="Q51" s="151">
        <f>IF(P51="-",0,IFERROR(IFERROR(VLOOKUP(P51,Атлет!$G$5:$I$104,3,FALSE),(IF(P51&lt;1,0,IF(INT(P51)&gt;=100,100,"Введите целое число")))),"Введите целое число или '-'"))</f>
        <v>0</v>
      </c>
      <c r="R51" s="156"/>
      <c r="S51" s="149">
        <f t="array" ref="S51">IF(R51=0,0,IF(MIN(IF(Атлет!$H$5:$H$104&gt;=R51,Атлет!$H$5:$H$104))=0,0,VLOOKUP(MIN(IF(Атлет!$H$5:$H$104&gt;=R51,Атлет!$H$5:$H$104)),Атлет!$H$5:$I$104,2)))</f>
        <v>0</v>
      </c>
      <c r="T51" s="157">
        <f>S51+Q51+O51+M51+K51+I51+G51</f>
        <v>0</v>
      </c>
      <c r="U51" s="144" t="str">
        <f>IF(T51&lt;=0, "", RANK(T51,$T$5:$T$104,0))</f>
        <v/>
      </c>
    </row>
    <row r="52" spans="1:21" ht="20.100000000000001" customHeight="1" x14ac:dyDescent="0.2">
      <c r="A52" s="145">
        <v>48</v>
      </c>
      <c r="B52" s="159"/>
      <c r="C52" s="146"/>
      <c r="D52" s="158"/>
      <c r="E52" s="296"/>
      <c r="F52" s="148"/>
      <c r="G52" s="149">
        <f>IF(F52="-",0,IFERROR(IFERROR(VLOOKUP(F52,Атлет!$B$5:$I$104,8,FALSE),(IF(F52&lt;1,0,IF(INT(F52)&gt;=25,100,"Введите целое число")))),"Введите целое число или '-'"))</f>
        <v>0</v>
      </c>
      <c r="H52" s="136"/>
      <c r="I52" s="151">
        <f t="array" ref="I52">IF(H52=0,0,IF(MIN(IF(Атлет!$C$5:$C$104&gt;=H52,Атлет!$C$5:$C$104))=0,0,VLOOKUP(MIN(IF(Атлет!$C$5:$C$104&gt;=H52,Атлет!$C$5:$C$104)),Атлет!$C$5:$I$104,7)))</f>
        <v>0</v>
      </c>
      <c r="J52" s="152"/>
      <c r="K52" s="153">
        <f>IF(J52="-",0,IFERROR(IFERROR(VLOOKUP(J52,Атлет!$D$5:$I$104,6,FALSE),(IF(J52&lt;1,0,IF(INT(J52)&gt;=40,100,"Введите целое число")))),"Введите целое число или '-'"))</f>
        <v>0</v>
      </c>
      <c r="L52" s="154"/>
      <c r="M52" s="151">
        <f>IF(L52="-",0,IFERROR(IFERROR(VLOOKUP(L52,Атлет!$E$5:$I$104,5,FALSE),(IF(L52&lt;1,0,IF(INT(L52)&gt;=30,100,"Введите целое число")))),"Введите целое число или '-'"))</f>
        <v>0</v>
      </c>
      <c r="N52" s="155"/>
      <c r="O52" s="153">
        <f>IF(N52="-",0,IFERROR(IFERROR(VLOOKUP(N52,Атлет!$F$5:$I$104,4,FALSE),(IF(N52&lt;1,0,IF(INT(N52)&gt;=90,100,"Введите целое число")))),"Введите целое число или '-'"))</f>
        <v>0</v>
      </c>
      <c r="P52" s="154"/>
      <c r="Q52" s="151">
        <f>IF(P52="-",0,IFERROR(IFERROR(VLOOKUP(P52,Атлет!$G$5:$I$104,3,FALSE),(IF(P52&lt;1,0,IF(INT(P52)&gt;=100,100,"Введите целое число")))),"Введите целое число или '-'"))</f>
        <v>0</v>
      </c>
      <c r="R52" s="156"/>
      <c r="S52" s="149">
        <f t="array" ref="S52">IF(R52=0,0,IF(MIN(IF(Атлет!$H$5:$H$104&gt;=R52,Атлет!$H$5:$H$104))=0,0,VLOOKUP(MIN(IF(Атлет!$H$5:$H$104&gt;=R52,Атлет!$H$5:$H$104)),Атлет!$H$5:$I$104,2)))</f>
        <v>0</v>
      </c>
      <c r="T52" s="157">
        <f>S52+Q52+O52+M52+K52+I52+G52</f>
        <v>0</v>
      </c>
      <c r="U52" s="144" t="str">
        <f>IF(T52&lt;=0, "", RANK(T52,$T$5:$T$104,0))</f>
        <v/>
      </c>
    </row>
    <row r="53" spans="1:21" ht="20.100000000000001" customHeight="1" x14ac:dyDescent="0.2">
      <c r="A53" s="132">
        <v>49</v>
      </c>
      <c r="B53" s="146"/>
      <c r="C53" s="159"/>
      <c r="D53" s="147"/>
      <c r="E53" s="164"/>
      <c r="F53" s="148"/>
      <c r="G53" s="149">
        <f>IF(F53="-",0,IFERROR(IFERROR(VLOOKUP(F53,Атлет!$B$5:$I$104,8,FALSE),(IF(F53&lt;1,0,IF(INT(F53)&gt;=25,100,"Введите целое число")))),"Введите целое число или '-'"))</f>
        <v>0</v>
      </c>
      <c r="H53" s="136"/>
      <c r="I53" s="151">
        <f t="array" ref="I53">IF(H53=0,0,IF(MIN(IF(Атлет!$C$5:$C$104&gt;=H53,Атлет!$C$5:$C$104))=0,0,VLOOKUP(MIN(IF(Атлет!$C$5:$C$104&gt;=H53,Атлет!$C$5:$C$104)),Атлет!$C$5:$I$104,7)))</f>
        <v>0</v>
      </c>
      <c r="J53" s="138"/>
      <c r="K53" s="153">
        <f>IF(J53="-",0,IFERROR(IFERROR(VLOOKUP(J53,Атлет!$D$5:$I$104,6,FALSE),(IF(J53&lt;1,0,IF(INT(J53)&gt;=40,100,"Введите целое число")))),"Введите целое число или '-'"))</f>
        <v>0</v>
      </c>
      <c r="L53" s="140"/>
      <c r="M53" s="151">
        <f>IF(L53="-",0,IFERROR(IFERROR(VLOOKUP(L53,Атлет!$E$5:$I$104,5,FALSE),(IF(L53&lt;1,0,IF(INT(L53)&gt;=30,100,"Введите целое число")))),"Введите целое число или '-'"))</f>
        <v>0</v>
      </c>
      <c r="N53" s="141"/>
      <c r="O53" s="153">
        <f>IF(N53="-",0,IFERROR(IFERROR(VLOOKUP(N53,Атлет!$F$5:$I$104,4,FALSE),(IF(N53&lt;1,0,IF(INT(N53)&gt;=90,100,"Введите целое число")))),"Введите целое число или '-'"))</f>
        <v>0</v>
      </c>
      <c r="P53" s="140"/>
      <c r="Q53" s="151">
        <f>IF(P53="-",0,IFERROR(IFERROR(VLOOKUP(P53,Атлет!$G$5:$I$104,3,FALSE),(IF(P53&lt;1,0,IF(INT(P53)&gt;=100,100,"Введите целое число")))),"Введите целое число или '-'"))</f>
        <v>0</v>
      </c>
      <c r="R53" s="142"/>
      <c r="S53" s="149">
        <f t="array" ref="S53">IF(R53=0,0,IF(MIN(IF(Атлет!$H$5:$H$104&gt;=R53,Атлет!$H$5:$H$104))=0,0,VLOOKUP(MIN(IF(Атлет!$H$5:$H$104&gt;=R53,Атлет!$H$5:$H$104)),Атлет!$H$5:$I$104,2)))</f>
        <v>0</v>
      </c>
      <c r="T53" s="157">
        <f>S53+Q53+O53+M53+K53+I53+G53</f>
        <v>0</v>
      </c>
      <c r="U53" s="144" t="str">
        <f>IF(T53&lt;=0, "", RANK(T53,$T$5:$T$104,0))</f>
        <v/>
      </c>
    </row>
    <row r="54" spans="1:21" ht="20.100000000000001" customHeight="1" x14ac:dyDescent="0.2">
      <c r="A54" s="145">
        <v>50</v>
      </c>
      <c r="B54" s="159"/>
      <c r="C54" s="146"/>
      <c r="D54" s="147"/>
      <c r="E54" s="164"/>
      <c r="F54" s="148"/>
      <c r="G54" s="149">
        <f>IF(F54="-",0,IFERROR(IFERROR(VLOOKUP(F54,Атлет!$B$5:$I$104,8,FALSE),(IF(F54&lt;1,0,IF(INT(F54)&gt;=25,100,"Введите целое число")))),"Введите целое число или '-'"))</f>
        <v>0</v>
      </c>
      <c r="H54" s="136"/>
      <c r="I54" s="151">
        <f t="array" ref="I54">IF(H54=0,0,IF(MIN(IF(Атлет!$C$5:$C$104&gt;=H54,Атлет!$C$5:$C$104))=0,0,VLOOKUP(MIN(IF(Атлет!$C$5:$C$104&gt;=H54,Атлет!$C$5:$C$104)),Атлет!$C$5:$I$104,7)))</f>
        <v>0</v>
      </c>
      <c r="J54" s="152"/>
      <c r="K54" s="153">
        <f>IF(J54="-",0,IFERROR(IFERROR(VLOOKUP(J54,Атлет!$D$5:$I$104,6,FALSE),(IF(J54&lt;1,0,IF(INT(J54)&gt;=40,100,"Введите целое число")))),"Введите целое число или '-'"))</f>
        <v>0</v>
      </c>
      <c r="L54" s="154"/>
      <c r="M54" s="151">
        <f>IF(L54="-",0,IFERROR(IFERROR(VLOOKUP(L54,Атлет!$E$5:$I$104,5,FALSE),(IF(L54&lt;1,0,IF(INT(L54)&gt;=30,100,"Введите целое число")))),"Введите целое число или '-'"))</f>
        <v>0</v>
      </c>
      <c r="N54" s="155"/>
      <c r="O54" s="153">
        <f>IF(N54="-",0,IFERROR(IFERROR(VLOOKUP(N54,Атлет!$F$5:$I$104,4,FALSE),(IF(N54&lt;1,0,IF(INT(N54)&gt;=90,100,"Введите целое число")))),"Введите целое число или '-'"))</f>
        <v>0</v>
      </c>
      <c r="P54" s="154"/>
      <c r="Q54" s="151">
        <f>IF(P54="-",0,IFERROR(IFERROR(VLOOKUP(P54,Атлет!$G$5:$I$104,3,FALSE),(IF(P54&lt;1,0,IF(INT(P54)&gt;=100,100,"Введите целое число")))),"Введите целое число или '-'"))</f>
        <v>0</v>
      </c>
      <c r="R54" s="156"/>
      <c r="S54" s="149">
        <f t="array" ref="S54">IF(R54=0,0,IF(MIN(IF(Атлет!$H$5:$H$104&gt;=R54,Атлет!$H$5:$H$104))=0,0,VLOOKUP(MIN(IF(Атлет!$H$5:$H$104&gt;=R54,Атлет!$H$5:$H$104)),Атлет!$H$5:$I$104,2)))</f>
        <v>0</v>
      </c>
      <c r="T54" s="157">
        <f>S54+Q54+O54+M54+K54+I54+G54</f>
        <v>0</v>
      </c>
      <c r="U54" s="144" t="str">
        <f>IF(T54&lt;=0, "", RANK(T54,$T$5:$T$104,0))</f>
        <v/>
      </c>
    </row>
    <row r="55" spans="1:21" ht="20.100000000000001" customHeight="1" x14ac:dyDescent="0.2">
      <c r="A55" s="145">
        <v>51</v>
      </c>
      <c r="B55" s="159"/>
      <c r="C55" s="159"/>
      <c r="D55" s="147"/>
      <c r="E55" s="165"/>
      <c r="F55" s="148"/>
      <c r="G55" s="149">
        <f>IF(F55="-",0,IFERROR(IFERROR(VLOOKUP(F55,Атлет!$B$5:$I$104,8,FALSE),(IF(F55&lt;1,0,IF(INT(F55)&gt;=25,100,"Введите целое число")))),"Введите целое число или '-'"))</f>
        <v>0</v>
      </c>
      <c r="H55" s="136"/>
      <c r="I55" s="151">
        <f t="array" ref="I55">IF(H55=0,0,IF(MIN(IF(Атлет!$C$5:$C$104&gt;=H55,Атлет!$C$5:$C$104))=0,0,VLOOKUP(MIN(IF(Атлет!$C$5:$C$104&gt;=H55,Атлет!$C$5:$C$104)),Атлет!$C$5:$I$104,7)))</f>
        <v>0</v>
      </c>
      <c r="J55" s="152"/>
      <c r="K55" s="153">
        <f>IF(J55="-",0,IFERROR(IFERROR(VLOOKUP(J55,Атлет!$D$5:$I$104,6,FALSE),(IF(J55&lt;1,0,IF(INT(J55)&gt;=40,100,"Введите целое число")))),"Введите целое число или '-'"))</f>
        <v>0</v>
      </c>
      <c r="L55" s="154"/>
      <c r="M55" s="151">
        <f>IF(L55="-",0,IFERROR(IFERROR(VLOOKUP(L55,Атлет!$E$5:$I$104,5,FALSE),(IF(L55&lt;1,0,IF(INT(L55)&gt;=30,100,"Введите целое число")))),"Введите целое число или '-'"))</f>
        <v>0</v>
      </c>
      <c r="N55" s="141"/>
      <c r="O55" s="153">
        <f>IF(N55="-",0,IFERROR(IFERROR(VLOOKUP(N55,Атлет!$F$5:$I$104,4,FALSE),(IF(N55&lt;1,0,IF(INT(N55)&gt;=90,100,"Введите целое число")))),"Введите целое число или '-'"))</f>
        <v>0</v>
      </c>
      <c r="P55" s="140"/>
      <c r="Q55" s="151">
        <f>IF(P55="-",0,IFERROR(IFERROR(VLOOKUP(P55,Атлет!$G$5:$I$104,3,FALSE),(IF(P55&lt;1,0,IF(INT(P55)&gt;=100,100,"Введите целое число")))),"Введите целое число или '-'"))</f>
        <v>0</v>
      </c>
      <c r="R55" s="156"/>
      <c r="S55" s="149">
        <f t="array" ref="S55">IF(R55=0,0,IF(MIN(IF(Атлет!$H$5:$H$104&gt;=R55,Атлет!$H$5:$H$104))=0,0,VLOOKUP(MIN(IF(Атлет!$H$5:$H$104&gt;=R55,Атлет!$H$5:$H$104)),Атлет!$H$5:$I$104,2)))</f>
        <v>0</v>
      </c>
      <c r="T55" s="157">
        <f>S55+Q55+O55+M55+K55+I55+G55</f>
        <v>0</v>
      </c>
      <c r="U55" s="144" t="str">
        <f>IF(T55&lt;=0, "", RANK(T55,$T$5:$T$104,0))</f>
        <v/>
      </c>
    </row>
    <row r="56" spans="1:21" ht="20.100000000000001" customHeight="1" x14ac:dyDescent="0.2">
      <c r="A56" s="132">
        <v>52</v>
      </c>
      <c r="B56" s="146"/>
      <c r="C56" s="146"/>
      <c r="D56" s="158"/>
      <c r="E56" s="165"/>
      <c r="F56" s="148"/>
      <c r="G56" s="149">
        <f>IF(F56="-",0,IFERROR(IFERROR(VLOOKUP(F56,Атлет!$B$5:$I$104,8,FALSE),(IF(F56&lt;1,0,IF(INT(F56)&gt;=25,100,"Введите целое число")))),"Введите целое число или '-'"))</f>
        <v>0</v>
      </c>
      <c r="H56" s="136"/>
      <c r="I56" s="151">
        <f t="array" ref="I56">IF(H56=0,0,IF(MIN(IF(Атлет!$C$5:$C$104&gt;=H56,Атлет!$C$5:$C$104))=0,0,VLOOKUP(MIN(IF(Атлет!$C$5:$C$104&gt;=H56,Атлет!$C$5:$C$104)),Атлет!$C$5:$I$104,7)))</f>
        <v>0</v>
      </c>
      <c r="J56" s="152"/>
      <c r="K56" s="153">
        <f>IF(J56="-",0,IFERROR(IFERROR(VLOOKUP(J56,Атлет!$D$5:$I$104,6,FALSE),(IF(J56&lt;1,0,IF(INT(J56)&gt;=40,100,"Введите целое число")))),"Введите целое число или '-'"))</f>
        <v>0</v>
      </c>
      <c r="L56" s="140"/>
      <c r="M56" s="151">
        <f>IF(L56="-",0,IFERROR(IFERROR(VLOOKUP(L56,Атлет!$E$5:$I$104,5,FALSE),(IF(L56&lt;1,0,IF(INT(L56)&gt;=30,100,"Введите целое число")))),"Введите целое число или '-'"))</f>
        <v>0</v>
      </c>
      <c r="N56" s="155"/>
      <c r="O56" s="153">
        <f>IF(N56="-",0,IFERROR(IFERROR(VLOOKUP(N56,Атлет!$F$5:$I$104,4,FALSE),(IF(N56&lt;1,0,IF(INT(N56)&gt;=90,100,"Введите целое число")))),"Введите целое число или '-'"))</f>
        <v>0</v>
      </c>
      <c r="P56" s="154"/>
      <c r="Q56" s="151">
        <f>IF(P56="-",0,IFERROR(IFERROR(VLOOKUP(P56,Атлет!$G$5:$I$104,3,FALSE),(IF(P56&lt;1,0,IF(INT(P56)&gt;=100,100,"Введите целое число")))),"Введите целое число или '-'"))</f>
        <v>0</v>
      </c>
      <c r="R56" s="142"/>
      <c r="S56" s="149">
        <f t="array" ref="S56">IF(R56=0,0,IF(MIN(IF(Атлет!$H$5:$H$104&gt;=R56,Атлет!$H$5:$H$104))=0,0,VLOOKUP(MIN(IF(Атлет!$H$5:$H$104&gt;=R56,Атлет!$H$5:$H$104)),Атлет!$H$5:$I$104,2)))</f>
        <v>0</v>
      </c>
      <c r="T56" s="157">
        <f>S56+Q56+O56+M56+K56+I56+G56</f>
        <v>0</v>
      </c>
      <c r="U56" s="144" t="str">
        <f>IF(T56&lt;=0, "", RANK(T56,$T$5:$T$104,0))</f>
        <v/>
      </c>
    </row>
    <row r="57" spans="1:21" ht="20.100000000000001" customHeight="1" x14ac:dyDescent="0.2">
      <c r="A57" s="145">
        <v>53</v>
      </c>
      <c r="B57" s="159"/>
      <c r="C57" s="159"/>
      <c r="D57" s="158"/>
      <c r="E57" s="164"/>
      <c r="F57" s="148"/>
      <c r="G57" s="149">
        <f>IF(F57="-",0,IFERROR(IFERROR(VLOOKUP(F57,Атлет!$B$5:$I$104,8,FALSE),(IF(F57&lt;1,0,IF(INT(F57)&gt;=25,100,"Введите целое число")))),"Введите целое число или '-'"))</f>
        <v>0</v>
      </c>
      <c r="H57" s="136"/>
      <c r="I57" s="151">
        <f t="array" ref="I57">IF(H57=0,0,IF(MIN(IF(Атлет!$C$5:$C$104&gt;=H57,Атлет!$C$5:$C$104))=0,0,VLOOKUP(MIN(IF(Атлет!$C$5:$C$104&gt;=H57,Атлет!$C$5:$C$104)),Атлет!$C$5:$I$104,7)))</f>
        <v>0</v>
      </c>
      <c r="J57" s="138"/>
      <c r="K57" s="153">
        <f>IF(J57="-",0,IFERROR(IFERROR(VLOOKUP(J57,Атлет!$D$5:$I$104,6,FALSE),(IF(J57&lt;1,0,IF(INT(J57)&gt;=40,100,"Введите целое число")))),"Введите целое число или '-'"))</f>
        <v>0</v>
      </c>
      <c r="L57" s="154"/>
      <c r="M57" s="151">
        <f>IF(L57="-",0,IFERROR(IFERROR(VLOOKUP(L57,Атлет!$E$5:$I$104,5,FALSE),(IF(L57&lt;1,0,IF(INT(L57)&gt;=30,100,"Введите целое число")))),"Введите целое число или '-'"))</f>
        <v>0</v>
      </c>
      <c r="N57" s="141"/>
      <c r="O57" s="153">
        <f>IF(N57="-",0,IFERROR(IFERROR(VLOOKUP(N57,Атлет!$F$5:$I$104,4,FALSE),(IF(N57&lt;1,0,IF(INT(N57)&gt;=90,100,"Введите целое число")))),"Введите целое число или '-'"))</f>
        <v>0</v>
      </c>
      <c r="P57" s="140"/>
      <c r="Q57" s="151">
        <f>IF(P57="-",0,IFERROR(IFERROR(VLOOKUP(P57,Атлет!$G$5:$I$104,3,FALSE),(IF(P57&lt;1,0,IF(INT(P57)&gt;=100,100,"Введите целое число")))),"Введите целое число или '-'"))</f>
        <v>0</v>
      </c>
      <c r="R57" s="156"/>
      <c r="S57" s="149">
        <f t="array" ref="S57">IF(R57=0,0,IF(MIN(IF(Атлет!$H$5:$H$104&gt;=R57,Атлет!$H$5:$H$104))=0,0,VLOOKUP(MIN(IF(Атлет!$H$5:$H$104&gt;=R57,Атлет!$H$5:$H$104)),Атлет!$H$5:$I$104,2)))</f>
        <v>0</v>
      </c>
      <c r="T57" s="157">
        <f>S57+Q57+O57+M57+K57+I57+G57</f>
        <v>0</v>
      </c>
      <c r="U57" s="144" t="str">
        <f>IF(T57&lt;=0, "", RANK(T57,$T$5:$T$104,0))</f>
        <v/>
      </c>
    </row>
    <row r="58" spans="1:21" ht="20.100000000000001" customHeight="1" x14ac:dyDescent="0.2">
      <c r="A58" s="145">
        <v>54</v>
      </c>
      <c r="B58" s="146"/>
      <c r="C58" s="159"/>
      <c r="D58" s="158"/>
      <c r="E58" s="165"/>
      <c r="F58" s="148"/>
      <c r="G58" s="149">
        <f>IF(F58="-",0,IFERROR(IFERROR(VLOOKUP(F58,Атлет!$B$5:$I$104,8,FALSE),(IF(F58&lt;1,0,IF(INT(F58)&gt;=25,100,"Введите целое число")))),"Введите целое число или '-'"))</f>
        <v>0</v>
      </c>
      <c r="H58" s="136"/>
      <c r="I58" s="151">
        <f t="array" ref="I58">IF(H58=0,0,IF(MIN(IF(Атлет!$C$5:$C$104&gt;=H58,Атлет!$C$5:$C$104))=0,0,VLOOKUP(MIN(IF(Атлет!$C$5:$C$104&gt;=H58,Атлет!$C$5:$C$104)),Атлет!$C$5:$I$104,7)))</f>
        <v>0</v>
      </c>
      <c r="J58" s="152"/>
      <c r="K58" s="153">
        <f>IF(J58="-",0,IFERROR(IFERROR(VLOOKUP(J58,Атлет!$D$5:$I$104,6,FALSE),(IF(J58&lt;1,0,IF(INT(J58)&gt;=40,100,"Введите целое число")))),"Введите целое число или '-'"))</f>
        <v>0</v>
      </c>
      <c r="L58" s="154"/>
      <c r="M58" s="151">
        <f>IF(L58="-",0,IFERROR(IFERROR(VLOOKUP(L58,Атлет!$E$5:$I$104,5,FALSE),(IF(L58&lt;1,0,IF(INT(L58)&gt;=30,100,"Введите целое число")))),"Введите целое число или '-'"))</f>
        <v>0</v>
      </c>
      <c r="N58" s="155"/>
      <c r="O58" s="153">
        <f>IF(N58="-",0,IFERROR(IFERROR(VLOOKUP(N58,Атлет!$F$5:$I$104,4,FALSE),(IF(N58&lt;1,0,IF(INT(N58)&gt;=90,100,"Введите целое число")))),"Введите целое число или '-'"))</f>
        <v>0</v>
      </c>
      <c r="P58" s="154"/>
      <c r="Q58" s="151">
        <f>IF(P58="-",0,IFERROR(IFERROR(VLOOKUP(P58,Атлет!$G$5:$I$104,3,FALSE),(IF(P58&lt;1,0,IF(INT(P58)&gt;=100,100,"Введите целое число")))),"Введите целое число или '-'"))</f>
        <v>0</v>
      </c>
      <c r="R58" s="156"/>
      <c r="S58" s="149">
        <f t="array" ref="S58">IF(R58=0,0,IF(MIN(IF(Атлет!$H$5:$H$104&gt;=R58,Атлет!$H$5:$H$104))=0,0,VLOOKUP(MIN(IF(Атлет!$H$5:$H$104&gt;=R58,Атлет!$H$5:$H$104)),Атлет!$H$5:$I$104,2)))</f>
        <v>0</v>
      </c>
      <c r="T58" s="157">
        <f>S58+Q58+O58+M58+K58+I58+G58</f>
        <v>0</v>
      </c>
      <c r="U58" s="144" t="str">
        <f>IF(T58&lt;=0, "", RANK(T58,$T$5:$T$104,0))</f>
        <v/>
      </c>
    </row>
    <row r="59" spans="1:21" ht="20.100000000000001" customHeight="1" x14ac:dyDescent="0.3">
      <c r="A59" s="132">
        <v>55</v>
      </c>
      <c r="B59" s="159"/>
      <c r="C59" s="146"/>
      <c r="D59" s="160"/>
      <c r="E59" s="165"/>
      <c r="F59" s="148"/>
      <c r="G59" s="149">
        <f>IF(F59="-",0,IFERROR(IFERROR(VLOOKUP(F59,Атлет!$B$5:$I$104,8,FALSE),(IF(F59&lt;1,0,IF(INT(F59)&gt;=25,100,"Введите целое число")))),"Введите целое число или '-'"))</f>
        <v>0</v>
      </c>
      <c r="H59" s="136"/>
      <c r="I59" s="151">
        <f t="array" ref="I59">IF(H59=0,0,IF(MIN(IF(Атлет!$C$5:$C$104&gt;=H59,Атлет!$C$5:$C$104))=0,0,VLOOKUP(MIN(IF(Атлет!$C$5:$C$104&gt;=H59,Атлет!$C$5:$C$104)),Атлет!$C$5:$I$104,7)))</f>
        <v>0</v>
      </c>
      <c r="J59" s="152"/>
      <c r="K59" s="153">
        <f>IF(J59="-",0,IFERROR(IFERROR(VLOOKUP(J59,Атлет!$D$5:$I$104,6,FALSE),(IF(J59&lt;1,0,IF(INT(J59)&gt;=40,100,"Введите целое число")))),"Введите целое число или '-'"))</f>
        <v>0</v>
      </c>
      <c r="L59" s="140"/>
      <c r="M59" s="151">
        <f>IF(L59="-",0,IFERROR(IFERROR(VLOOKUP(L59,Атлет!$E$5:$I$104,5,FALSE),(IF(L59&lt;1,0,IF(INT(L59)&gt;=30,100,"Введите целое число")))),"Введите целое число или '-'"))</f>
        <v>0</v>
      </c>
      <c r="N59" s="141"/>
      <c r="O59" s="153">
        <f>IF(N59="-",0,IFERROR(IFERROR(VLOOKUP(N59,Атлет!$F$5:$I$104,4,FALSE),(IF(N59&lt;1,0,IF(INT(N59)&gt;=90,100,"Введите целое число")))),"Введите целое число или '-'"))</f>
        <v>0</v>
      </c>
      <c r="P59" s="140"/>
      <c r="Q59" s="151">
        <f>IF(P59="-",0,IFERROR(IFERROR(VLOOKUP(P59,Атлет!$G$5:$I$104,3,FALSE),(IF(P59&lt;1,0,IF(INT(P59)&gt;=100,100,"Введите целое число")))),"Введите целое число или '-'"))</f>
        <v>0</v>
      </c>
      <c r="R59" s="142"/>
      <c r="S59" s="149">
        <f t="array" ref="S59">IF(R59=0,0,IF(MIN(IF(Атлет!$H$5:$H$104&gt;=R59,Атлет!$H$5:$H$104))=0,0,VLOOKUP(MIN(IF(Атлет!$H$5:$H$104&gt;=R59,Атлет!$H$5:$H$104)),Атлет!$H$5:$I$104,2)))</f>
        <v>0</v>
      </c>
      <c r="T59" s="157">
        <f>S59+Q59+O59+M59+K59+I59+G59</f>
        <v>0</v>
      </c>
      <c r="U59" s="144" t="str">
        <f>IF(T59&lt;=0, "", RANK(T59,$T$5:$T$104,0))</f>
        <v/>
      </c>
    </row>
    <row r="60" spans="1:21" ht="20.100000000000001" customHeight="1" x14ac:dyDescent="0.2">
      <c r="A60" s="145">
        <v>56</v>
      </c>
      <c r="B60" s="146"/>
      <c r="C60" s="159"/>
      <c r="D60" s="147"/>
      <c r="E60" s="164"/>
      <c r="F60" s="148"/>
      <c r="G60" s="149">
        <f>IF(F60="-",0,IFERROR(IFERROR(VLOOKUP(F60,Атлет!$B$5:$I$104,8,FALSE),(IF(F60&lt;1,0,IF(INT(F60)&gt;=25,100,"Введите целое число")))),"Введите целое число или '-'"))</f>
        <v>0</v>
      </c>
      <c r="H60" s="136"/>
      <c r="I60" s="151">
        <f t="array" ref="I60">IF(H60=0,0,IF(MIN(IF(Атлет!$C$5:$C$104&gt;=H60,Атлет!$C$5:$C$104))=0,0,VLOOKUP(MIN(IF(Атлет!$C$5:$C$104&gt;=H60,Атлет!$C$5:$C$104)),Атлет!$C$5:$I$104,7)))</f>
        <v>0</v>
      </c>
      <c r="J60" s="152"/>
      <c r="K60" s="153">
        <f>IF(J60="-",0,IFERROR(IFERROR(VLOOKUP(J60,Атлет!$D$5:$I$104,6,FALSE),(IF(J60&lt;1,0,IF(INT(J60)&gt;=40,100,"Введите целое число")))),"Введите целое число или '-'"))</f>
        <v>0</v>
      </c>
      <c r="L60" s="154"/>
      <c r="M60" s="151">
        <f>IF(L60="-",0,IFERROR(IFERROR(VLOOKUP(L60,Атлет!$E$5:$I$104,5,FALSE),(IF(L60&lt;1,0,IF(INT(L60)&gt;=30,100,"Введите целое число")))),"Введите целое число или '-'"))</f>
        <v>0</v>
      </c>
      <c r="N60" s="155"/>
      <c r="O60" s="153">
        <f>IF(N60="-",0,IFERROR(IFERROR(VLOOKUP(N60,Атлет!$F$5:$I$104,4,FALSE),(IF(N60&lt;1,0,IF(INT(N60)&gt;=90,100,"Введите целое число")))),"Введите целое число или '-'"))</f>
        <v>0</v>
      </c>
      <c r="P60" s="154"/>
      <c r="Q60" s="151">
        <f>IF(P60="-",0,IFERROR(IFERROR(VLOOKUP(P60,Атлет!$G$5:$I$104,3,FALSE),(IF(P60&lt;1,0,IF(INT(P60)&gt;=100,100,"Введите целое число")))),"Введите целое число или '-'"))</f>
        <v>0</v>
      </c>
      <c r="R60" s="156"/>
      <c r="S60" s="149">
        <f t="array" ref="S60">IF(R60=0,0,IF(MIN(IF(Атлет!$H$5:$H$104&gt;=R60,Атлет!$H$5:$H$104))=0,0,VLOOKUP(MIN(IF(Атлет!$H$5:$H$104&gt;=R60,Атлет!$H$5:$H$104)),Атлет!$H$5:$I$104,2)))</f>
        <v>0</v>
      </c>
      <c r="T60" s="157">
        <f>S60+Q60+O60+M60+K60+I60+G60</f>
        <v>0</v>
      </c>
      <c r="U60" s="144" t="str">
        <f>IF(T60&lt;=0, "", RANK(T60,$T$5:$T$104,0))</f>
        <v/>
      </c>
    </row>
    <row r="61" spans="1:21" ht="20.100000000000001" customHeight="1" x14ac:dyDescent="0.2">
      <c r="A61" s="145">
        <v>57</v>
      </c>
      <c r="B61" s="159"/>
      <c r="C61" s="146"/>
      <c r="D61" s="147"/>
      <c r="E61" s="164"/>
      <c r="F61" s="148"/>
      <c r="G61" s="149">
        <f>IF(F61="-",0,IFERROR(IFERROR(VLOOKUP(F61,Атлет!$B$5:$I$104,8,FALSE),(IF(F61&lt;1,0,IF(INT(F61)&gt;=25,100,"Введите целое число")))),"Введите целое число или '-'"))</f>
        <v>0</v>
      </c>
      <c r="H61" s="136"/>
      <c r="I61" s="151">
        <f t="array" ref="I61">IF(H61=0,0,IF(MIN(IF(Атлет!$C$5:$C$104&gt;=H61,Атлет!$C$5:$C$104))=0,0,VLOOKUP(MIN(IF(Атлет!$C$5:$C$104&gt;=H61,Атлет!$C$5:$C$104)),Атлет!$C$5:$I$104,7)))</f>
        <v>0</v>
      </c>
      <c r="J61" s="138"/>
      <c r="K61" s="153">
        <f>IF(J61="-",0,IFERROR(IFERROR(VLOOKUP(J61,Атлет!$D$5:$I$104,6,FALSE),(IF(J61&lt;1,0,IF(INT(J61)&gt;=40,100,"Введите целое число")))),"Введите целое число или '-'"))</f>
        <v>0</v>
      </c>
      <c r="L61" s="154"/>
      <c r="M61" s="151">
        <f>IF(L61="-",0,IFERROR(IFERROR(VLOOKUP(L61,Атлет!$E$5:$I$104,5,FALSE),(IF(L61&lt;1,0,IF(INT(L61)&gt;=30,100,"Введите целое число")))),"Введите целое число или '-'"))</f>
        <v>0</v>
      </c>
      <c r="N61" s="141"/>
      <c r="O61" s="153">
        <f>IF(N61="-",0,IFERROR(IFERROR(VLOOKUP(N61,Атлет!$F$5:$I$104,4,FALSE),(IF(N61&lt;1,0,IF(INT(N61)&gt;=90,100,"Введите целое число")))),"Введите целое число или '-'"))</f>
        <v>0</v>
      </c>
      <c r="P61" s="140"/>
      <c r="Q61" s="151">
        <f>IF(P61="-",0,IFERROR(IFERROR(VLOOKUP(P61,Атлет!$G$5:$I$104,3,FALSE),(IF(P61&lt;1,0,IF(INT(P61)&gt;=100,100,"Введите целое число")))),"Введите целое число или '-'"))</f>
        <v>0</v>
      </c>
      <c r="R61" s="156"/>
      <c r="S61" s="149">
        <f t="array" ref="S61">IF(R61=0,0,IF(MIN(IF(Атлет!$H$5:$H$104&gt;=R61,Атлет!$H$5:$H$104))=0,0,VLOOKUP(MIN(IF(Атлет!$H$5:$H$104&gt;=R61,Атлет!$H$5:$H$104)),Атлет!$H$5:$I$104,2)))</f>
        <v>0</v>
      </c>
      <c r="T61" s="157">
        <f>S61+Q61+O61+M61+K61+I61+G61</f>
        <v>0</v>
      </c>
      <c r="U61" s="144" t="str">
        <f>IF(T61&lt;=0, "", RANK(T61,$T$5:$T$104,0))</f>
        <v/>
      </c>
    </row>
    <row r="62" spans="1:21" ht="20.100000000000001" customHeight="1" x14ac:dyDescent="0.2">
      <c r="A62" s="132">
        <v>58</v>
      </c>
      <c r="B62" s="146"/>
      <c r="C62" s="159"/>
      <c r="D62" s="166"/>
      <c r="E62" s="165"/>
      <c r="F62" s="148"/>
      <c r="G62" s="149">
        <f>IF(F62="-",0,IFERROR(IFERROR(VLOOKUP(F62,Атлет!$B$5:$I$104,8,FALSE),(IF(F62&lt;1,0,IF(INT(F62)&gt;=25,100,"Введите целое число")))),"Введите целое число или '-'"))</f>
        <v>0</v>
      </c>
      <c r="H62" s="136"/>
      <c r="I62" s="151">
        <f t="array" ref="I62">IF(H62=0,0,IF(MIN(IF(Атлет!$C$5:$C$104&gt;=H62,Атлет!$C$5:$C$104))=0,0,VLOOKUP(MIN(IF(Атлет!$C$5:$C$104&gt;=H62,Атлет!$C$5:$C$104)),Атлет!$C$5:$I$104,7)))</f>
        <v>0</v>
      </c>
      <c r="J62" s="152"/>
      <c r="K62" s="153">
        <f>IF(J62="-",0,IFERROR(IFERROR(VLOOKUP(J62,Атлет!$D$5:$I$104,6,FALSE),(IF(J62&lt;1,0,IF(INT(J62)&gt;=40,100,"Введите целое число")))),"Введите целое число или '-'"))</f>
        <v>0</v>
      </c>
      <c r="L62" s="140"/>
      <c r="M62" s="151">
        <f>IF(L62="-",0,IFERROR(IFERROR(VLOOKUP(L62,Атлет!$E$5:$I$104,5,FALSE),(IF(L62&lt;1,0,IF(INT(L62)&gt;=30,100,"Введите целое число")))),"Введите целое число или '-'"))</f>
        <v>0</v>
      </c>
      <c r="N62" s="155"/>
      <c r="O62" s="153">
        <f>IF(N62="-",0,IFERROR(IFERROR(VLOOKUP(N62,Атлет!$F$5:$I$104,4,FALSE),(IF(N62&lt;1,0,IF(INT(N62)&gt;=90,100,"Введите целое число")))),"Введите целое число или '-'"))</f>
        <v>0</v>
      </c>
      <c r="P62" s="154"/>
      <c r="Q62" s="151">
        <f>IF(P62="-",0,IFERROR(IFERROR(VLOOKUP(P62,Атлет!$G$5:$I$104,3,FALSE),(IF(P62&lt;1,0,IF(INT(P62)&gt;=100,100,"Введите целое число")))),"Введите целое число или '-'"))</f>
        <v>0</v>
      </c>
      <c r="R62" s="142"/>
      <c r="S62" s="149">
        <f t="array" ref="S62">IF(R62=0,0,IF(MIN(IF(Атлет!$H$5:$H$104&gt;=R62,Атлет!$H$5:$H$104))=0,0,VLOOKUP(MIN(IF(Атлет!$H$5:$H$104&gt;=R62,Атлет!$H$5:$H$104)),Атлет!$H$5:$I$104,2)))</f>
        <v>0</v>
      </c>
      <c r="T62" s="157">
        <f>S62+Q62+O62+M62+K62+I62+G62</f>
        <v>0</v>
      </c>
      <c r="U62" s="144" t="str">
        <f>IF(T62&lt;=0, "", RANK(T62,$T$5:$T$104,0))</f>
        <v/>
      </c>
    </row>
    <row r="63" spans="1:21" ht="20.100000000000001" customHeight="1" x14ac:dyDescent="0.2">
      <c r="A63" s="145">
        <v>59</v>
      </c>
      <c r="B63" s="159"/>
      <c r="C63" s="146"/>
      <c r="D63" s="158"/>
      <c r="E63" s="165"/>
      <c r="F63" s="148"/>
      <c r="G63" s="149">
        <f>IF(F63="-",0,IFERROR(IFERROR(VLOOKUP(F63,Атлет!$B$5:$I$104,8,FALSE),(IF(F63&lt;1,0,IF(INT(F63)&gt;=25,100,"Введите целое число")))),"Введите целое число или '-'"))</f>
        <v>0</v>
      </c>
      <c r="H63" s="136"/>
      <c r="I63" s="151">
        <f t="array" ref="I63">IF(H63=0,0,IF(MIN(IF(Атлет!$C$5:$C$104&gt;=H63,Атлет!$C$5:$C$104))=0,0,VLOOKUP(MIN(IF(Атлет!$C$5:$C$104&gt;=H63,Атлет!$C$5:$C$104)),Атлет!$C$5:$I$104,7)))</f>
        <v>0</v>
      </c>
      <c r="J63" s="152"/>
      <c r="K63" s="153">
        <f>IF(J63="-",0,IFERROR(IFERROR(VLOOKUP(J63,Атлет!$D$5:$I$104,6,FALSE),(IF(J63&lt;1,0,IF(INT(J63)&gt;=40,100,"Введите целое число")))),"Введите целое число или '-'"))</f>
        <v>0</v>
      </c>
      <c r="L63" s="154"/>
      <c r="M63" s="151">
        <f>IF(L63="-",0,IFERROR(IFERROR(VLOOKUP(L63,Атлет!$E$5:$I$104,5,FALSE),(IF(L63&lt;1,0,IF(INT(L63)&gt;=30,100,"Введите целое число")))),"Введите целое число или '-'"))</f>
        <v>0</v>
      </c>
      <c r="N63" s="141"/>
      <c r="O63" s="153">
        <f>IF(N63="-",0,IFERROR(IFERROR(VLOOKUP(N63,Атлет!$F$5:$I$104,4,FALSE),(IF(N63&lt;1,0,IF(INT(N63)&gt;=90,100,"Введите целое число")))),"Введите целое число или '-'"))</f>
        <v>0</v>
      </c>
      <c r="P63" s="140"/>
      <c r="Q63" s="151">
        <f>IF(P63="-",0,IFERROR(IFERROR(VLOOKUP(P63,Атлет!$G$5:$I$104,3,FALSE),(IF(P63&lt;1,0,IF(INT(P63)&gt;=100,100,"Введите целое число")))),"Введите целое число или '-'"))</f>
        <v>0</v>
      </c>
      <c r="R63" s="156"/>
      <c r="S63" s="149">
        <f t="array" ref="S63">IF(R63=0,0,IF(MIN(IF(Атлет!$H$5:$H$104&gt;=R63,Атлет!$H$5:$H$104))=0,0,VLOOKUP(MIN(IF(Атлет!$H$5:$H$104&gt;=R63,Атлет!$H$5:$H$104)),Атлет!$H$5:$I$104,2)))</f>
        <v>0</v>
      </c>
      <c r="T63" s="157">
        <f>S63+Q63+O63+M63+K63+I63+G63</f>
        <v>0</v>
      </c>
      <c r="U63" s="144" t="str">
        <f>IF(T63&lt;=0, "", RANK(T63,$T$5:$T$104,0))</f>
        <v/>
      </c>
    </row>
    <row r="64" spans="1:21" ht="20.100000000000001" customHeight="1" x14ac:dyDescent="0.3">
      <c r="A64" s="145">
        <v>60</v>
      </c>
      <c r="B64" s="146"/>
      <c r="C64" s="159"/>
      <c r="D64" s="160"/>
      <c r="E64" s="165"/>
      <c r="F64" s="148"/>
      <c r="G64" s="149">
        <f>IF(F64="-",0,IFERROR(IFERROR(VLOOKUP(F64,Атлет!$B$5:$I$104,8,FALSE),(IF(F64&lt;1,0,IF(INT(F64)&gt;=25,100,"Введите целое число")))),"Введите целое число или '-'"))</f>
        <v>0</v>
      </c>
      <c r="H64" s="136"/>
      <c r="I64" s="151">
        <f t="array" ref="I64">IF(H64=0,0,IF(MIN(IF(Атлет!$C$5:$C$104&gt;=H64,Атлет!$C$5:$C$104))=0,0,VLOOKUP(MIN(IF(Атлет!$C$5:$C$104&gt;=H64,Атлет!$C$5:$C$104)),Атлет!$C$5:$I$104,7)))</f>
        <v>0</v>
      </c>
      <c r="J64" s="152"/>
      <c r="K64" s="153">
        <f>IF(J64="-",0,IFERROR(IFERROR(VLOOKUP(J64,Атлет!$D$5:$I$104,6,FALSE),(IF(J64&lt;1,0,IF(INT(J64)&gt;=40,100,"Введите целое число")))),"Введите целое число или '-'"))</f>
        <v>0</v>
      </c>
      <c r="L64" s="154"/>
      <c r="M64" s="151">
        <f>IF(L64="-",0,IFERROR(IFERROR(VLOOKUP(L64,Атлет!$E$5:$I$104,5,FALSE),(IF(L64&lt;1,0,IF(INT(L64)&gt;=30,100,"Введите целое число")))),"Введите целое число или '-'"))</f>
        <v>0</v>
      </c>
      <c r="N64" s="155"/>
      <c r="O64" s="153">
        <f>IF(N64="-",0,IFERROR(IFERROR(VLOOKUP(N64,Атлет!$F$5:$I$104,4,FALSE),(IF(N64&lt;1,0,IF(INT(N64)&gt;=90,100,"Введите целое число")))),"Введите целое число или '-'"))</f>
        <v>0</v>
      </c>
      <c r="P64" s="154"/>
      <c r="Q64" s="151">
        <f>IF(P64="-",0,IFERROR(IFERROR(VLOOKUP(P64,Атлет!$G$5:$I$104,3,FALSE),(IF(P64&lt;1,0,IF(INT(P64)&gt;=100,100,"Введите целое число")))),"Введите целое число или '-'"))</f>
        <v>0</v>
      </c>
      <c r="R64" s="156"/>
      <c r="S64" s="149">
        <f t="array" ref="S64">IF(R64=0,0,IF(MIN(IF(Атлет!$H$5:$H$104&gt;=R64,Атлет!$H$5:$H$104))=0,0,VLOOKUP(MIN(IF(Атлет!$H$5:$H$104&gt;=R64,Атлет!$H$5:$H$104)),Атлет!$H$5:$I$104,2)))</f>
        <v>0</v>
      </c>
      <c r="T64" s="157">
        <f>S64+Q64+O64+M64+K64+I64+G64</f>
        <v>0</v>
      </c>
      <c r="U64" s="144" t="str">
        <f>IF(T64&lt;=0, "", RANK(T64,$T$5:$T$104,0))</f>
        <v/>
      </c>
    </row>
    <row r="65" spans="1:21" ht="20.100000000000001" customHeight="1" x14ac:dyDescent="0.2">
      <c r="A65" s="132">
        <v>61</v>
      </c>
      <c r="B65" s="159"/>
      <c r="C65" s="146"/>
      <c r="D65" s="158"/>
      <c r="E65" s="165"/>
      <c r="F65" s="148"/>
      <c r="G65" s="149">
        <f>IF(F65="-",0,IFERROR(IFERROR(VLOOKUP(F65,Атлет!$B$5:$I$104,8,FALSE),(IF(F65&lt;1,0,IF(INT(F65)&gt;=25,100,"Введите целое число")))),"Введите целое число или '-'"))</f>
        <v>0</v>
      </c>
      <c r="H65" s="136"/>
      <c r="I65" s="151">
        <f t="array" ref="I65">IF(H65=0,0,IF(MIN(IF(Атлет!$C$5:$C$104&gt;=H65,Атлет!$C$5:$C$104))=0,0,VLOOKUP(MIN(IF(Атлет!$C$5:$C$104&gt;=H65,Атлет!$C$5:$C$104)),Атлет!$C$5:$I$104,7)))</f>
        <v>0</v>
      </c>
      <c r="J65" s="138"/>
      <c r="K65" s="153">
        <f>IF(J65="-",0,IFERROR(IFERROR(VLOOKUP(J65,Атлет!$D$5:$I$104,6,FALSE),(IF(J65&lt;1,0,IF(INT(J65)&gt;=40,100,"Введите целое число")))),"Введите целое число или '-'"))</f>
        <v>0</v>
      </c>
      <c r="L65" s="163"/>
      <c r="M65" s="151">
        <f>IF(L65="-",0,IFERROR(IFERROR(VLOOKUP(L65,Атлет!$E$5:$I$104,5,FALSE),(IF(L65&lt;1,0,IF(INT(L65)&gt;=30,100,"Введите целое число")))),"Введите целое число или '-'"))</f>
        <v>0</v>
      </c>
      <c r="N65" s="141"/>
      <c r="O65" s="153">
        <f>IF(N65="-",0,IFERROR(IFERROR(VLOOKUP(N65,Атлет!$F$5:$I$104,4,FALSE),(IF(N65&lt;1,0,IF(INT(N65)&gt;=90,100,"Введите целое число")))),"Введите целое число или '-'"))</f>
        <v>0</v>
      </c>
      <c r="P65" s="140"/>
      <c r="Q65" s="151">
        <f>IF(P65="-",0,IFERROR(IFERROR(VLOOKUP(P65,Атлет!$G$5:$I$104,3,FALSE),(IF(P65&lt;1,0,IF(INT(P65)&gt;=100,100,"Введите целое число")))),"Введите целое число или '-'"))</f>
        <v>0</v>
      </c>
      <c r="R65" s="142"/>
      <c r="S65" s="149">
        <f t="array" ref="S65">IF(R65=0,0,IF(MIN(IF(Атлет!$H$5:$H$104&gt;=R65,Атлет!$H$5:$H$104))=0,0,VLOOKUP(MIN(IF(Атлет!$H$5:$H$104&gt;=R65,Атлет!$H$5:$H$104)),Атлет!$H$5:$I$104,2)))</f>
        <v>0</v>
      </c>
      <c r="T65" s="157">
        <f>S65+Q65+O65+M65+K65+I65+G65</f>
        <v>0</v>
      </c>
      <c r="U65" s="144" t="str">
        <f>IF(T65&lt;=0, "", RANK(T65,$T$5:$T$104,0))</f>
        <v/>
      </c>
    </row>
    <row r="66" spans="1:21" ht="20.100000000000001" customHeight="1" x14ac:dyDescent="0.2">
      <c r="A66" s="145">
        <v>62</v>
      </c>
      <c r="B66" s="146"/>
      <c r="C66" s="159"/>
      <c r="D66" s="158"/>
      <c r="E66" s="164"/>
      <c r="F66" s="148"/>
      <c r="G66" s="149">
        <f>IF(F66="-",0,IFERROR(IFERROR(VLOOKUP(F66,Атлет!$B$5:$I$104,8,FALSE),(IF(F66&lt;1,0,IF(INT(F66)&gt;=25,100,"Введите целое число")))),"Введите целое число или '-'"))</f>
        <v>0</v>
      </c>
      <c r="H66" s="136"/>
      <c r="I66" s="151">
        <f t="array" ref="I66">IF(H66=0,0,IF(MIN(IF(Атлет!$C$5:$C$104&gt;=H66,Атлет!$C$5:$C$104))=0,0,VLOOKUP(MIN(IF(Атлет!$C$5:$C$104&gt;=H66,Атлет!$C$5:$C$104)),Атлет!$C$5:$I$104,7)))</f>
        <v>0</v>
      </c>
      <c r="J66" s="152"/>
      <c r="K66" s="153">
        <f>IF(J66="-",0,IFERROR(IFERROR(VLOOKUP(J66,Атлет!$D$5:$I$104,6,FALSE),(IF(J66&lt;1,0,IF(INT(J66)&gt;=40,100,"Введите целое число")))),"Введите целое число или '-'"))</f>
        <v>0</v>
      </c>
      <c r="L66" s="154"/>
      <c r="M66" s="151">
        <f>IF(L66="-",0,IFERROR(IFERROR(VLOOKUP(L66,Атлет!$E$5:$I$104,5,FALSE),(IF(L66&lt;1,0,IF(INT(L66)&gt;=30,100,"Введите целое число")))),"Введите целое число или '-'"))</f>
        <v>0</v>
      </c>
      <c r="N66" s="155"/>
      <c r="O66" s="153">
        <f>IF(N66="-",0,IFERROR(IFERROR(VLOOKUP(N66,Атлет!$F$5:$I$104,4,FALSE),(IF(N66&lt;1,0,IF(INT(N66)&gt;=90,100,"Введите целое число")))),"Введите целое число или '-'"))</f>
        <v>0</v>
      </c>
      <c r="P66" s="154"/>
      <c r="Q66" s="151">
        <f>IF(P66="-",0,IFERROR(IFERROR(VLOOKUP(P66,Атлет!$G$5:$I$104,3,FALSE),(IF(P66&lt;1,0,IF(INT(P66)&gt;=100,100,"Введите целое число")))),"Введите целое число или '-'"))</f>
        <v>0</v>
      </c>
      <c r="R66" s="156"/>
      <c r="S66" s="149">
        <f t="array" ref="S66">IF(R66=0,0,IF(MIN(IF(Атлет!$H$5:$H$104&gt;=R66,Атлет!$H$5:$H$104))=0,0,VLOOKUP(MIN(IF(Атлет!$H$5:$H$104&gt;=R66,Атлет!$H$5:$H$104)),Атлет!$H$5:$I$104,2)))</f>
        <v>0</v>
      </c>
      <c r="T66" s="157">
        <f>S66+Q66+O66+M66+K66+I66+G66</f>
        <v>0</v>
      </c>
      <c r="U66" s="144" t="str">
        <f>IF(T66&lt;=0, "", RANK(T66,$T$5:$T$104,0))</f>
        <v/>
      </c>
    </row>
    <row r="67" spans="1:21" ht="20.100000000000001" customHeight="1" x14ac:dyDescent="0.2">
      <c r="A67" s="145">
        <v>63</v>
      </c>
      <c r="B67" s="159"/>
      <c r="C67" s="146"/>
      <c r="D67" s="147"/>
      <c r="E67" s="164"/>
      <c r="F67" s="148"/>
      <c r="G67" s="149">
        <f>IF(F67="-",0,IFERROR(IFERROR(VLOOKUP(F67,Атлет!$B$5:$I$104,8,FALSE),(IF(F67&lt;1,0,IF(INT(F67)&gt;=25,100,"Введите целое число")))),"Введите целое число или '-'"))</f>
        <v>0</v>
      </c>
      <c r="H67" s="150"/>
      <c r="I67" s="151">
        <f t="array" ref="I67">IF(H67=0,0,IF(MIN(IF(Атлет!$C$5:$C$104&gt;=H67,Атлет!$C$5:$C$104))=0,0,VLOOKUP(MIN(IF(Атлет!$C$5:$C$104&gt;=H67,Атлет!$C$5:$C$104)),Атлет!$C$5:$I$104,7)))</f>
        <v>0</v>
      </c>
      <c r="J67" s="152"/>
      <c r="K67" s="153">
        <f>IF(J67="-",0,IFERROR(IFERROR(VLOOKUP(J67,Атлет!$D$5:$I$104,6,FALSE),(IF(J67&lt;1,0,IF(INT(J67)&gt;=40,100,"Введите целое число")))),"Введите целое число или '-'"))</f>
        <v>0</v>
      </c>
      <c r="L67" s="163"/>
      <c r="M67" s="151">
        <f>IF(L67="-",0,IFERROR(IFERROR(VLOOKUP(L67,Атлет!$E$5:$I$104,5,FALSE),(IF(L67&lt;1,0,IF(INT(L67)&gt;=30,100,"Введите целое число")))),"Введите целое число или '-'"))</f>
        <v>0</v>
      </c>
      <c r="N67" s="141"/>
      <c r="O67" s="153">
        <f>IF(N67="-",0,IFERROR(IFERROR(VLOOKUP(N67,Атлет!$F$5:$I$104,4,FALSE),(IF(N67&lt;1,0,IF(INT(N67)&gt;=90,100,"Введите целое число")))),"Введите целое число или '-'"))</f>
        <v>0</v>
      </c>
      <c r="P67" s="140"/>
      <c r="Q67" s="151">
        <f>IF(P67="-",0,IFERROR(IFERROR(VLOOKUP(P67,Атлет!$G$5:$I$104,3,FALSE),(IF(P67&lt;1,0,IF(INT(P67)&gt;=100,100,"Введите целое число")))),"Введите целое число или '-'"))</f>
        <v>0</v>
      </c>
      <c r="R67" s="156"/>
      <c r="S67" s="149">
        <f t="array" ref="S67">IF(R67=0,0,IF(MIN(IF(Атлет!$H$5:$H$104&gt;=R67,Атлет!$H$5:$H$104))=0,0,VLOOKUP(MIN(IF(Атлет!$H$5:$H$104&gt;=R67,Атлет!$H$5:$H$104)),Атлет!$H$5:$I$104,2)))</f>
        <v>0</v>
      </c>
      <c r="T67" s="157">
        <f>S67+Q67+O67+M67+K67+I67+G67</f>
        <v>0</v>
      </c>
      <c r="U67" s="144" t="str">
        <f>IF(T67&lt;=0, "", RANK(T67,$T$5:$T$104,0))</f>
        <v/>
      </c>
    </row>
    <row r="68" spans="1:21" ht="20.100000000000001" customHeight="1" x14ac:dyDescent="0.2">
      <c r="A68" s="132">
        <v>64</v>
      </c>
      <c r="B68" s="146"/>
      <c r="C68" s="159"/>
      <c r="D68" s="147"/>
      <c r="E68" s="164"/>
      <c r="F68" s="148"/>
      <c r="G68" s="149">
        <f>IF(F68="-",0,IFERROR(IFERROR(VLOOKUP(F68,Атлет!$B$5:$I$104,8,FALSE),(IF(F68&lt;1,0,IF(INT(F68)&gt;=25,100,"Введите целое число")))),"Введите целое число или '-'"))</f>
        <v>0</v>
      </c>
      <c r="H68" s="150"/>
      <c r="I68" s="151">
        <f t="array" ref="I68">IF(H68=0,0,IF(MIN(IF(Атлет!$C$5:$C$104&gt;=H68,Атлет!$C$5:$C$104))=0,0,VLOOKUP(MIN(IF(Атлет!$C$5:$C$104&gt;=H68,Атлет!$C$5:$C$104)),Атлет!$C$5:$I$104,7)))</f>
        <v>0</v>
      </c>
      <c r="J68" s="152"/>
      <c r="K68" s="153">
        <f>IF(J68="-",0,IFERROR(IFERROR(VLOOKUP(J68,Атлет!$D$5:$I$104,6,FALSE),(IF(J68&lt;1,0,IF(INT(J68)&gt;=40,100,"Введите целое число")))),"Введите целое число или '-'"))</f>
        <v>0</v>
      </c>
      <c r="L68" s="163"/>
      <c r="M68" s="151">
        <f>IF(L68="-",0,IFERROR(IFERROR(VLOOKUP(L68,Атлет!$E$5:$I$104,5,FALSE),(IF(L68&lt;1,0,IF(INT(L68)&gt;=30,100,"Введите целое число")))),"Введите целое число или '-'"))</f>
        <v>0</v>
      </c>
      <c r="N68" s="155"/>
      <c r="O68" s="153">
        <f>IF(N68="-",0,IFERROR(IFERROR(VLOOKUP(N68,Атлет!$F$5:$I$104,4,FALSE),(IF(N68&lt;1,0,IF(INT(N68)&gt;=90,100,"Введите целое число")))),"Введите целое число или '-'"))</f>
        <v>0</v>
      </c>
      <c r="P68" s="154"/>
      <c r="Q68" s="151">
        <f>IF(P68="-",0,IFERROR(IFERROR(VLOOKUP(P68,Атлет!$G$5:$I$104,3,FALSE),(IF(P68&lt;1,0,IF(INT(P68)&gt;=100,100,"Введите целое число")))),"Введите целое число или '-'"))</f>
        <v>0</v>
      </c>
      <c r="R68" s="142"/>
      <c r="S68" s="149">
        <f t="array" ref="S68">IF(R68=0,0,IF(MIN(IF(Атлет!$H$5:$H$104&gt;=R68,Атлет!$H$5:$H$104))=0,0,VLOOKUP(MIN(IF(Атлет!$H$5:$H$104&gt;=R68,Атлет!$H$5:$H$104)),Атлет!$H$5:$I$104,2)))</f>
        <v>0</v>
      </c>
      <c r="T68" s="157">
        <f>S68+Q68+O68+M68+K68+I68+G68</f>
        <v>0</v>
      </c>
      <c r="U68" s="144" t="str">
        <f>IF(T68&lt;=0, "", RANK(T68,$T$5:$T$104,0))</f>
        <v/>
      </c>
    </row>
    <row r="69" spans="1:21" ht="20.100000000000001" customHeight="1" x14ac:dyDescent="0.2">
      <c r="A69" s="145">
        <v>65</v>
      </c>
      <c r="B69" s="159"/>
      <c r="C69" s="146"/>
      <c r="D69" s="147"/>
      <c r="E69" s="165"/>
      <c r="F69" s="148"/>
      <c r="G69" s="149">
        <f>IF(F69="-",0,IFERROR(IFERROR(VLOOKUP(F69,Атлет!$B$5:$I$104,8,FALSE),(IF(F69&lt;1,0,IF(INT(F69)&gt;=25,100,"Введите целое число")))),"Введите целое число или '-'"))</f>
        <v>0</v>
      </c>
      <c r="H69" s="150"/>
      <c r="I69" s="151">
        <f t="array" ref="I69">IF(H69=0,0,IF(MIN(IF(Атлет!$C$5:$C$104&gt;=H69,Атлет!$C$5:$C$104))=0,0,VLOOKUP(MIN(IF(Атлет!$C$5:$C$104&gt;=H69,Атлет!$C$5:$C$104)),Атлет!$C$5:$I$104,7)))</f>
        <v>0</v>
      </c>
      <c r="J69" s="152"/>
      <c r="K69" s="153">
        <f>IF(J69="-",0,IFERROR(IFERROR(VLOOKUP(J69,Атлет!$D$5:$I$104,6,FALSE),(IF(J69&lt;1,0,IF(INT(J69)&gt;=40,100,"Введите целое число")))),"Введите целое число или '-'"))</f>
        <v>0</v>
      </c>
      <c r="L69" s="154"/>
      <c r="M69" s="151">
        <f>IF(L69="-",0,IFERROR(IFERROR(VLOOKUP(L69,Атлет!$E$5:$I$104,5,FALSE),(IF(L69&lt;1,0,IF(INT(L69)&gt;=30,100,"Введите целое число")))),"Введите целое число или '-'"))</f>
        <v>0</v>
      </c>
      <c r="N69" s="141"/>
      <c r="O69" s="153">
        <f>IF(N69="-",0,IFERROR(IFERROR(VLOOKUP(N69,Атлет!$F$5:$I$104,4,FALSE),(IF(N69&lt;1,0,IF(INT(N69)&gt;=90,100,"Введите целое число")))),"Введите целое число или '-'"))</f>
        <v>0</v>
      </c>
      <c r="P69" s="140"/>
      <c r="Q69" s="151">
        <f>IF(P69="-",0,IFERROR(IFERROR(VLOOKUP(P69,Атлет!$G$5:$I$104,3,FALSE),(IF(P69&lt;1,0,IF(INT(P69)&gt;=100,100,"Введите целое число")))),"Введите целое число или '-'"))</f>
        <v>0</v>
      </c>
      <c r="R69" s="156"/>
      <c r="S69" s="149">
        <f t="array" ref="S69">IF(R69=0,0,IF(MIN(IF(Атлет!$H$5:$H$104&gt;=R69,Атлет!$H$5:$H$104))=0,0,VLOOKUP(MIN(IF(Атлет!$H$5:$H$104&gt;=R69,Атлет!$H$5:$H$104)),Атлет!$H$5:$I$104,2)))</f>
        <v>0</v>
      </c>
      <c r="T69" s="157">
        <f>S69+Q69+O69+M69+K69+I69+G69</f>
        <v>0</v>
      </c>
      <c r="U69" s="144" t="str">
        <f>IF(T69&lt;=0, "", RANK(T69,$T$5:$T$104,0))</f>
        <v/>
      </c>
    </row>
    <row r="70" spans="1:21" ht="20.100000000000001" customHeight="1" x14ac:dyDescent="0.2">
      <c r="A70" s="145">
        <v>66</v>
      </c>
      <c r="B70" s="146"/>
      <c r="C70" s="159"/>
      <c r="D70" s="158"/>
      <c r="E70" s="164"/>
      <c r="F70" s="148"/>
      <c r="G70" s="149">
        <f>IF(F70="-",0,IFERROR(IFERROR(VLOOKUP(F70,Атлет!$B$5:$I$104,8,FALSE),(IF(F70&lt;1,0,IF(INT(F70)&gt;=25,100,"Введите целое число")))),"Введите целое число или '-'"))</f>
        <v>0</v>
      </c>
      <c r="H70" s="150"/>
      <c r="I70" s="151">
        <f t="array" ref="I70">IF(H70=0,0,IF(MIN(IF(Атлет!$C$5:$C$104&gt;=H70,Атлет!$C$5:$C$104))=0,0,VLOOKUP(MIN(IF(Атлет!$C$5:$C$104&gt;=H70,Атлет!$C$5:$C$104)),Атлет!$C$5:$I$104,7)))</f>
        <v>0</v>
      </c>
      <c r="J70" s="152"/>
      <c r="K70" s="153">
        <f>IF(J70="-",0,IFERROR(IFERROR(VLOOKUP(J70,Атлет!$D$5:$I$104,6,FALSE),(IF(J70&lt;1,0,IF(INT(J70)&gt;=40,100,"Введите целое число")))),"Введите целое число или '-'"))</f>
        <v>0</v>
      </c>
      <c r="L70" s="163"/>
      <c r="M70" s="151">
        <f>IF(L70="-",0,IFERROR(IFERROR(VLOOKUP(L70,Атлет!$E$5:$I$104,5,FALSE),(IF(L70&lt;1,0,IF(INT(L70)&gt;=30,100,"Введите целое число")))),"Введите целое число или '-'"))</f>
        <v>0</v>
      </c>
      <c r="N70" s="155"/>
      <c r="O70" s="153">
        <f>IF(N70="-",0,IFERROR(IFERROR(VLOOKUP(N70,Атлет!$F$5:$I$104,4,FALSE),(IF(N70&lt;1,0,IF(INT(N70)&gt;=90,100,"Введите целое число")))),"Введите целое число или '-'"))</f>
        <v>0</v>
      </c>
      <c r="P70" s="154"/>
      <c r="Q70" s="151">
        <f>IF(P70="-",0,IFERROR(IFERROR(VLOOKUP(P70,Атлет!$G$5:$I$104,3,FALSE),(IF(P70&lt;1,0,IF(INT(P70)&gt;=100,100,"Введите целое число")))),"Введите целое число или '-'"))</f>
        <v>0</v>
      </c>
      <c r="R70" s="156"/>
      <c r="S70" s="149">
        <f t="array" ref="S70">IF(R70=0,0,IF(MIN(IF(Атлет!$H$5:$H$104&gt;=R70,Атлет!$H$5:$H$104))=0,0,VLOOKUP(MIN(IF(Атлет!$H$5:$H$104&gt;=R70,Атлет!$H$5:$H$104)),Атлет!$H$5:$I$104,2)))</f>
        <v>0</v>
      </c>
      <c r="T70" s="157">
        <f>S70+Q70+O70+M70+K70+I70+G70</f>
        <v>0</v>
      </c>
      <c r="U70" s="144" t="str">
        <f>IF(T70&lt;=0, "", RANK(T70,$T$5:$T$104,0))</f>
        <v/>
      </c>
    </row>
    <row r="71" spans="1:21" ht="20.100000000000001" customHeight="1" x14ac:dyDescent="0.2">
      <c r="A71" s="132">
        <v>67</v>
      </c>
      <c r="B71" s="146"/>
      <c r="C71" s="146"/>
      <c r="D71" s="147"/>
      <c r="E71" s="165"/>
      <c r="F71" s="148"/>
      <c r="G71" s="149">
        <f>IF(F71="-",0,IFERROR(IFERROR(VLOOKUP(F71,Атлет!$B$5:$I$104,8,FALSE),(IF(F71&lt;1,0,IF(INT(F71)&gt;=25,100,"Введите целое число")))),"Введите целое число или '-'"))</f>
        <v>0</v>
      </c>
      <c r="H71" s="150"/>
      <c r="I71" s="151">
        <f t="array" ref="I71">IF(H71=0,0,IF(MIN(IF(Атлет!$C$5:$C$104&gt;=H71,Атлет!$C$5:$C$104))=0,0,VLOOKUP(MIN(IF(Атлет!$C$5:$C$104&gt;=H71,Атлет!$C$5:$C$104)),Атлет!$C$5:$I$104,7)))</f>
        <v>0</v>
      </c>
      <c r="J71" s="152"/>
      <c r="K71" s="153">
        <f>IF(J71="-",0,IFERROR(IFERROR(VLOOKUP(J71,Атлет!$D$5:$I$104,6,FALSE),(IF(J71&lt;1,0,IF(INT(J71)&gt;=40,100,"Введите целое число")))),"Введите целое число или '-'"))</f>
        <v>0</v>
      </c>
      <c r="L71" s="163"/>
      <c r="M71" s="151">
        <f>IF(L71="-",0,IFERROR(IFERROR(VLOOKUP(L71,Атлет!$E$5:$I$104,5,FALSE),(IF(L71&lt;1,0,IF(INT(L71)&gt;=30,100,"Введите целое число")))),"Введите целое число или '-'"))</f>
        <v>0</v>
      </c>
      <c r="N71" s="141"/>
      <c r="O71" s="153">
        <f>IF(N71="-",0,IFERROR(IFERROR(VLOOKUP(N71,Атлет!$F$5:$I$104,4,FALSE),(IF(N71&lt;1,0,IF(INT(N71)&gt;=90,100,"Введите целое число")))),"Введите целое число или '-'"))</f>
        <v>0</v>
      </c>
      <c r="P71" s="140"/>
      <c r="Q71" s="151">
        <f>IF(P71="-",0,IFERROR(IFERROR(VLOOKUP(P71,Атлет!$G$5:$I$104,3,FALSE),(IF(P71&lt;1,0,IF(INT(P71)&gt;=100,100,"Введите целое число")))),"Введите целое число или '-'"))</f>
        <v>0</v>
      </c>
      <c r="R71" s="142"/>
      <c r="S71" s="149">
        <f t="array" ref="S71">IF(R71=0,0,IF(MIN(IF(Атлет!$H$5:$H$104&gt;=R71,Атлет!$H$5:$H$104))=0,0,VLOOKUP(MIN(IF(Атлет!$H$5:$H$104&gt;=R71,Атлет!$H$5:$H$104)),Атлет!$H$5:$I$104,2)))</f>
        <v>0</v>
      </c>
      <c r="T71" s="157">
        <f>S71+Q71+O71+M71+K71+I71+G71</f>
        <v>0</v>
      </c>
      <c r="U71" s="144" t="str">
        <f>IF(T71&lt;=0, "", RANK(T71,$T$5:$T$104,0))</f>
        <v/>
      </c>
    </row>
    <row r="72" spans="1:21" ht="20.100000000000001" customHeight="1" x14ac:dyDescent="0.3">
      <c r="A72" s="145">
        <v>68</v>
      </c>
      <c r="B72" s="146"/>
      <c r="C72" s="159"/>
      <c r="D72" s="160"/>
      <c r="E72" s="165"/>
      <c r="F72" s="148"/>
      <c r="G72" s="149">
        <f>IF(F72="-",0,IFERROR(IFERROR(VLOOKUP(F72,Атлет!$B$5:$I$104,8,FALSE),(IF(F72&lt;1,0,IF(INT(F72)&gt;=25,100,"Введите целое число")))),"Введите целое число или '-'"))</f>
        <v>0</v>
      </c>
      <c r="H72" s="150"/>
      <c r="I72" s="151">
        <f t="array" ref="I72">IF(H72=0,0,IF(MIN(IF(Атлет!$C$5:$C$104&gt;=H72,Атлет!$C$5:$C$104))=0,0,VLOOKUP(MIN(IF(Атлет!$C$5:$C$104&gt;=H72,Атлет!$C$5:$C$104)),Атлет!$C$5:$I$104,7)))</f>
        <v>0</v>
      </c>
      <c r="J72" s="152"/>
      <c r="K72" s="153">
        <f>IF(J72="-",0,IFERROR(IFERROR(VLOOKUP(J72,Атлет!$D$5:$I$104,6,FALSE),(IF(J72&lt;1,0,IF(INT(J72)&gt;=40,100,"Введите целое число")))),"Введите целое число или '-'"))</f>
        <v>0</v>
      </c>
      <c r="L72" s="154"/>
      <c r="M72" s="151">
        <f>IF(L72="-",0,IFERROR(IFERROR(VLOOKUP(L72,Атлет!$E$5:$I$104,5,FALSE),(IF(L72&lt;1,0,IF(INT(L72)&gt;=30,100,"Введите целое число")))),"Введите целое число или '-'"))</f>
        <v>0</v>
      </c>
      <c r="N72" s="155"/>
      <c r="O72" s="153">
        <f>IF(N72="-",0,IFERROR(IFERROR(VLOOKUP(N72,Атлет!$F$5:$I$104,4,FALSE),(IF(N72&lt;1,0,IF(INT(N72)&gt;=90,100,"Введите целое число")))),"Введите целое число или '-'"))</f>
        <v>0</v>
      </c>
      <c r="P72" s="154"/>
      <c r="Q72" s="151">
        <f>IF(P72="-",0,IFERROR(IFERROR(VLOOKUP(P72,Атлет!$G$5:$I$104,3,FALSE),(IF(P72&lt;1,0,IF(INT(P72)&gt;=100,100,"Введите целое число")))),"Введите целое число или '-'"))</f>
        <v>0</v>
      </c>
      <c r="R72" s="156"/>
      <c r="S72" s="149">
        <f t="array" ref="S72">IF(R72=0,0,IF(MIN(IF(Атлет!$H$5:$H$104&gt;=R72,Атлет!$H$5:$H$104))=0,0,VLOOKUP(MIN(IF(Атлет!$H$5:$H$104&gt;=R72,Атлет!$H$5:$H$104)),Атлет!$H$5:$I$104,2)))</f>
        <v>0</v>
      </c>
      <c r="T72" s="157">
        <f>S72+Q72+O72+M72+K72+I72+G72</f>
        <v>0</v>
      </c>
      <c r="U72" s="144" t="str">
        <f>IF(T72&lt;=0, "", RANK(T72,$T$5:$T$104,0))</f>
        <v/>
      </c>
    </row>
    <row r="73" spans="1:21" ht="20.100000000000001" customHeight="1" x14ac:dyDescent="0.2">
      <c r="A73" s="145">
        <v>69</v>
      </c>
      <c r="B73" s="146"/>
      <c r="C73" s="146"/>
      <c r="D73" s="147"/>
      <c r="E73" s="165"/>
      <c r="F73" s="148"/>
      <c r="G73" s="149">
        <f>IF(F73="-",0,IFERROR(IFERROR(VLOOKUP(F73,Атлет!$B$5:$I$104,8,FALSE),(IF(F73&lt;1,0,IF(INT(F73)&gt;=25,100,"Введите целое число")))),"Введите целое число или '-'"))</f>
        <v>0</v>
      </c>
      <c r="H73" s="150"/>
      <c r="I73" s="151">
        <f t="array" ref="I73">IF(H73=0,0,IF(MIN(IF(Атлет!$C$5:$C$104&gt;=H73,Атлет!$C$5:$C$104))=0,0,VLOOKUP(MIN(IF(Атлет!$C$5:$C$104&gt;=H73,Атлет!$C$5:$C$104)),Атлет!$C$5:$I$104,7)))</f>
        <v>0</v>
      </c>
      <c r="J73" s="152"/>
      <c r="K73" s="153">
        <f>IF(J73="-",0,IFERROR(IFERROR(VLOOKUP(J73,Атлет!$D$5:$I$104,6,FALSE),(IF(J73&lt;1,0,IF(INT(J73)&gt;=40,100,"Введите целое число")))),"Введите целое число или '-'"))</f>
        <v>0</v>
      </c>
      <c r="L73" s="163"/>
      <c r="M73" s="151">
        <f>IF(L73="-",0,IFERROR(IFERROR(VLOOKUP(L73,Атлет!$E$5:$I$104,5,FALSE),(IF(L73&lt;1,0,IF(INT(L73)&gt;=30,100,"Введите целое число")))),"Введите целое число или '-'"))</f>
        <v>0</v>
      </c>
      <c r="N73" s="141"/>
      <c r="O73" s="153">
        <f>IF(N73="-",0,IFERROR(IFERROR(VLOOKUP(N73,Атлет!$F$5:$I$104,4,FALSE),(IF(N73&lt;1,0,IF(INT(N73)&gt;=90,100,"Введите целое число")))),"Введите целое число или '-'"))</f>
        <v>0</v>
      </c>
      <c r="P73" s="140"/>
      <c r="Q73" s="151">
        <f>IF(P73="-",0,IFERROR(IFERROR(VLOOKUP(P73,Атлет!$G$5:$I$104,3,FALSE),(IF(P73&lt;1,0,IF(INT(P73)&gt;=100,100,"Введите целое число")))),"Введите целое число или '-'"))</f>
        <v>0</v>
      </c>
      <c r="R73" s="156"/>
      <c r="S73" s="149">
        <f t="array" ref="S73">IF(R73=0,0,IF(MIN(IF(Атлет!$H$5:$H$104&gt;=R73,Атлет!$H$5:$H$104))=0,0,VLOOKUP(MIN(IF(Атлет!$H$5:$H$104&gt;=R73,Атлет!$H$5:$H$104)),Атлет!$H$5:$I$104,2)))</f>
        <v>0</v>
      </c>
      <c r="T73" s="157">
        <f>S73+Q73+O73+M73+K73+I73+G73</f>
        <v>0</v>
      </c>
      <c r="U73" s="144" t="str">
        <f>IF(T73&lt;=0, "", RANK(T73,$T$5:$T$104,0))</f>
        <v/>
      </c>
    </row>
    <row r="74" spans="1:21" ht="20.100000000000001" customHeight="1" x14ac:dyDescent="0.2">
      <c r="A74" s="132">
        <v>70</v>
      </c>
      <c r="B74" s="146"/>
      <c r="C74" s="146"/>
      <c r="D74" s="158"/>
      <c r="E74" s="164"/>
      <c r="F74" s="148"/>
      <c r="G74" s="149">
        <f>IF(F74="-",0,IFERROR(IFERROR(VLOOKUP(F74,Атлет!$B$5:$I$104,8,FALSE),(IF(F74&lt;1,0,IF(INT(F74)&gt;=25,100,"Введите целое число")))),"Введите целое число или '-'"))</f>
        <v>0</v>
      </c>
      <c r="H74" s="150"/>
      <c r="I74" s="151">
        <f t="array" ref="I74">IF(H74=0,0,IF(MIN(IF(Атлет!$C$5:$C$104&gt;=H74,Атлет!$C$5:$C$104))=0,0,VLOOKUP(MIN(IF(Атлет!$C$5:$C$104&gt;=H74,Атлет!$C$5:$C$104)),Атлет!$C$5:$I$104,7)))</f>
        <v>0</v>
      </c>
      <c r="J74" s="152"/>
      <c r="K74" s="153">
        <f>IF(J74="-",0,IFERROR(IFERROR(VLOOKUP(J74,Атлет!$D$5:$I$104,6,FALSE),(IF(J74&lt;1,0,IF(INT(J74)&gt;=40,100,"Введите целое число")))),"Введите целое число или '-'"))</f>
        <v>0</v>
      </c>
      <c r="L74" s="163"/>
      <c r="M74" s="151">
        <f>IF(L74="-",0,IFERROR(IFERROR(VLOOKUP(L74,Атлет!$E$5:$I$104,5,FALSE),(IF(L74&lt;1,0,IF(INT(L74)&gt;=30,100,"Введите целое число")))),"Введите целое число или '-'"))</f>
        <v>0</v>
      </c>
      <c r="N74" s="155"/>
      <c r="O74" s="153">
        <f>IF(N74="-",0,IFERROR(IFERROR(VLOOKUP(N74,Атлет!$F$5:$I$104,4,FALSE),(IF(N74&lt;1,0,IF(INT(N74)&gt;=90,100,"Введите целое число")))),"Введите целое число или '-'"))</f>
        <v>0</v>
      </c>
      <c r="P74" s="154"/>
      <c r="Q74" s="151">
        <f>IF(P74="-",0,IFERROR(IFERROR(VLOOKUP(P74,Атлет!$G$5:$I$104,3,FALSE),(IF(P74&lt;1,0,IF(INT(P74)&gt;=100,100,"Введите целое число")))),"Введите целое число или '-'"))</f>
        <v>0</v>
      </c>
      <c r="R74" s="142"/>
      <c r="S74" s="149">
        <f t="array" ref="S74">IF(R74=0,0,IF(MIN(IF(Атлет!$H$5:$H$104&gt;=R74,Атлет!$H$5:$H$104))=0,0,VLOOKUP(MIN(IF(Атлет!$H$5:$H$104&gt;=R74,Атлет!$H$5:$H$104)),Атлет!$H$5:$I$104,2)))</f>
        <v>0</v>
      </c>
      <c r="T74" s="157">
        <f>S74+Q74+O74+M74+K74+I74+G74</f>
        <v>0</v>
      </c>
      <c r="U74" s="144" t="str">
        <f>IF(T74&lt;=0, "", RANK(T74,$T$5:$T$104,0))</f>
        <v/>
      </c>
    </row>
    <row r="75" spans="1:21" ht="20.100000000000001" customHeight="1" x14ac:dyDescent="0.2">
      <c r="A75" s="145">
        <v>71</v>
      </c>
      <c r="B75" s="146"/>
      <c r="C75" s="146"/>
      <c r="D75" s="158"/>
      <c r="E75" s="165"/>
      <c r="F75" s="148"/>
      <c r="G75" s="149">
        <f>IF(F75="-",0,IFERROR(IFERROR(VLOOKUP(F75,Атлет!$B$5:$I$104,8,FALSE),(IF(F75&lt;1,0,IF(INT(F75)&gt;=25,100,"Введите целое число")))),"Введите целое число или '-'"))</f>
        <v>0</v>
      </c>
      <c r="H75" s="150"/>
      <c r="I75" s="151">
        <f t="array" ref="I75">IF(H75=0,0,IF(MIN(IF(Атлет!$C$5:$C$104&gt;=H75,Атлет!$C$5:$C$104))=0,0,VLOOKUP(MIN(IF(Атлет!$C$5:$C$104&gt;=H75,Атлет!$C$5:$C$104)),Атлет!$C$5:$I$104,7)))</f>
        <v>0</v>
      </c>
      <c r="J75" s="152"/>
      <c r="K75" s="153">
        <f>IF(J75="-",0,IFERROR(IFERROR(VLOOKUP(J75,Атлет!$D$5:$I$104,6,FALSE),(IF(J75&lt;1,0,IF(INT(J75)&gt;=40,100,"Введите целое число")))),"Введите целое число или '-'"))</f>
        <v>0</v>
      </c>
      <c r="L75" s="154"/>
      <c r="M75" s="151">
        <f>IF(L75="-",0,IFERROR(IFERROR(VLOOKUP(L75,Атлет!$E$5:$I$104,5,FALSE),(IF(L75&lt;1,0,IF(INT(L75)&gt;=30,100,"Введите целое число")))),"Введите целое число или '-'"))</f>
        <v>0</v>
      </c>
      <c r="N75" s="141"/>
      <c r="O75" s="153">
        <f>IF(N75="-",0,IFERROR(IFERROR(VLOOKUP(N75,Атлет!$F$5:$I$104,4,FALSE),(IF(N75&lt;1,0,IF(INT(N75)&gt;=90,100,"Введите целое число")))),"Введите целое число или '-'"))</f>
        <v>0</v>
      </c>
      <c r="P75" s="140"/>
      <c r="Q75" s="151">
        <f>IF(P75="-",0,IFERROR(IFERROR(VLOOKUP(P75,Атлет!$G$5:$I$104,3,FALSE),(IF(P75&lt;1,0,IF(INT(P75)&gt;=100,100,"Введите целое число")))),"Введите целое число или '-'"))</f>
        <v>0</v>
      </c>
      <c r="R75" s="156"/>
      <c r="S75" s="149">
        <f t="array" ref="S75">IF(R75=0,0,IF(MIN(IF(Атлет!$H$5:$H$104&gt;=R75,Атлет!$H$5:$H$104))=0,0,VLOOKUP(MIN(IF(Атлет!$H$5:$H$104&gt;=R75,Атлет!$H$5:$H$104)),Атлет!$H$5:$I$104,2)))</f>
        <v>0</v>
      </c>
      <c r="T75" s="157">
        <f>S75+Q75+O75+M75+K75+I75+G75</f>
        <v>0</v>
      </c>
      <c r="U75" s="144" t="str">
        <f>IF(T75&lt;=0, "", RANK(T75,$T$5:$T$104,0))</f>
        <v/>
      </c>
    </row>
    <row r="76" spans="1:21" ht="20.100000000000001" customHeight="1" x14ac:dyDescent="0.2">
      <c r="A76" s="145">
        <v>72</v>
      </c>
      <c r="B76" s="146"/>
      <c r="C76" s="146"/>
      <c r="D76" s="158"/>
      <c r="E76" s="167"/>
      <c r="F76" s="148"/>
      <c r="G76" s="149">
        <f>IF(F76="-",0,IFERROR(IFERROR(VLOOKUP(F76,Атлет!$B$5:$I$104,8,FALSE),(IF(F76&lt;1,0,IF(INT(F76)&gt;=25,100,"Введите целое число")))),"Введите целое число или '-'"))</f>
        <v>0</v>
      </c>
      <c r="H76" s="150"/>
      <c r="I76" s="151">
        <f t="array" ref="I76">IF(H76=0,0,IF(MIN(IF(Атлет!$C$5:$C$104&gt;=H76,Атлет!$C$5:$C$104))=0,0,VLOOKUP(MIN(IF(Атлет!$C$5:$C$104&gt;=H76,Атлет!$C$5:$C$104)),Атлет!$C$5:$I$104,7)))</f>
        <v>0</v>
      </c>
      <c r="J76" s="152"/>
      <c r="K76" s="153">
        <f>IF(J76="-",0,IFERROR(IFERROR(VLOOKUP(J76,Атлет!$D$5:$I$104,6,FALSE),(IF(J76&lt;1,0,IF(INT(J76)&gt;=40,100,"Введите целое число")))),"Введите целое число или '-'"))</f>
        <v>0</v>
      </c>
      <c r="L76" s="163"/>
      <c r="M76" s="151">
        <f>IF(L76="-",0,IFERROR(IFERROR(VLOOKUP(L76,Атлет!$E$5:$I$104,5,FALSE),(IF(L76&lt;1,0,IF(INT(L76)&gt;=30,100,"Введите целое число")))),"Введите целое число или '-'"))</f>
        <v>0</v>
      </c>
      <c r="N76" s="155"/>
      <c r="O76" s="153">
        <f>IF(N76="-",0,IFERROR(IFERROR(VLOOKUP(N76,Атлет!$F$5:$I$104,4,FALSE),(IF(N76&lt;1,0,IF(INT(N76)&gt;=90,100,"Введите целое число")))),"Введите целое число или '-'"))</f>
        <v>0</v>
      </c>
      <c r="P76" s="154"/>
      <c r="Q76" s="151">
        <f>IF(P76="-",0,IFERROR(IFERROR(VLOOKUP(P76,Атлет!$G$5:$I$104,3,FALSE),(IF(P76&lt;1,0,IF(INT(P76)&gt;=100,100,"Введите целое число")))),"Введите целое число или '-'"))</f>
        <v>0</v>
      </c>
      <c r="R76" s="156"/>
      <c r="S76" s="149">
        <f t="array" ref="S76">IF(R76=0,0,IF(MIN(IF(Атлет!$H$5:$H$104&gt;=R76,Атлет!$H$5:$H$104))=0,0,VLOOKUP(MIN(IF(Атлет!$H$5:$H$104&gt;=R76,Атлет!$H$5:$H$104)),Атлет!$H$5:$I$104,2)))</f>
        <v>0</v>
      </c>
      <c r="T76" s="157">
        <f>S76+Q76+O76+M76+K76+I76+G76</f>
        <v>0</v>
      </c>
      <c r="U76" s="144" t="str">
        <f>IF(T76&lt;=0, "", RANK(T76,$T$5:$T$104,0))</f>
        <v/>
      </c>
    </row>
    <row r="77" spans="1:21" ht="20.100000000000001" customHeight="1" x14ac:dyDescent="0.2">
      <c r="A77" s="132">
        <v>73</v>
      </c>
      <c r="B77" s="146"/>
      <c r="C77" s="146"/>
      <c r="D77" s="158"/>
      <c r="E77" s="165"/>
      <c r="F77" s="148"/>
      <c r="G77" s="149">
        <f>IF(F77="-",0,IFERROR(IFERROR(VLOOKUP(F77,Атлет!$B$5:$I$104,8,FALSE),(IF(F77&lt;1,0,IF(INT(F77)&gt;=25,100,"Введите целое число")))),"Введите целое число или '-'"))</f>
        <v>0</v>
      </c>
      <c r="H77" s="150"/>
      <c r="I77" s="151">
        <f t="array" ref="I77">IF(H77=0,0,IF(MIN(IF(Атлет!$C$5:$C$104&gt;=H77,Атлет!$C$5:$C$104))=0,0,VLOOKUP(MIN(IF(Атлет!$C$5:$C$104&gt;=H77,Атлет!$C$5:$C$104)),Атлет!$C$5:$I$104,7)))</f>
        <v>0</v>
      </c>
      <c r="J77" s="152"/>
      <c r="K77" s="153">
        <f>IF(J77="-",0,IFERROR(IFERROR(VLOOKUP(J77,Атлет!$D$5:$I$104,6,FALSE),(IF(J77&lt;1,0,IF(INT(J77)&gt;=40,100,"Введите целое число")))),"Введите целое число или '-'"))</f>
        <v>0</v>
      </c>
      <c r="L77" s="163"/>
      <c r="M77" s="151">
        <f>IF(L77="-",0,IFERROR(IFERROR(VLOOKUP(L77,Атлет!$E$5:$I$104,5,FALSE),(IF(L77&lt;1,0,IF(INT(L77)&gt;=30,100,"Введите целое число")))),"Введите целое число или '-'"))</f>
        <v>0</v>
      </c>
      <c r="N77" s="141"/>
      <c r="O77" s="153">
        <f>IF(N77="-",0,IFERROR(IFERROR(VLOOKUP(N77,Атлет!$F$5:$I$104,4,FALSE),(IF(N77&lt;1,0,IF(INT(N77)&gt;=90,100,"Введите целое число")))),"Введите целое число или '-'"))</f>
        <v>0</v>
      </c>
      <c r="P77" s="154"/>
      <c r="Q77" s="151">
        <f>IF(P77="-",0,IFERROR(IFERROR(VLOOKUP(P77,Атлет!$G$5:$I$104,3,FALSE),(IF(P77&lt;1,0,IF(INT(P77)&gt;=100,100,"Введите целое число")))),"Введите целое число или '-'"))</f>
        <v>0</v>
      </c>
      <c r="R77" s="156"/>
      <c r="S77" s="149">
        <f t="array" ref="S77">IF(R77=0,0,IF(MIN(IF(Атлет!$H$5:$H$104&gt;=R77,Атлет!$H$5:$H$104))=0,0,VLOOKUP(MIN(IF(Атлет!$H$5:$H$104&gt;=R77,Атлет!$H$5:$H$104)),Атлет!$H$5:$I$104,2)))</f>
        <v>0</v>
      </c>
      <c r="T77" s="157">
        <f>S77+Q77+O77+M77+K77+I77+G77</f>
        <v>0</v>
      </c>
      <c r="U77" s="144" t="str">
        <f>IF(T77&lt;=0, "", RANK(T77,$T$5:$T$104,0))</f>
        <v/>
      </c>
    </row>
    <row r="78" spans="1:21" ht="20.100000000000001" customHeight="1" x14ac:dyDescent="0.2">
      <c r="A78" s="145">
        <v>74</v>
      </c>
      <c r="B78" s="146"/>
      <c r="C78" s="146"/>
      <c r="D78" s="158"/>
      <c r="E78" s="165"/>
      <c r="F78" s="148"/>
      <c r="G78" s="149">
        <f>IF(F78="-",0,IFERROR(IFERROR(VLOOKUP(F78,Атлет!$B$5:$I$104,8,FALSE),(IF(F78&lt;1,0,IF(INT(F78)&gt;=25,100,"Введите целое число")))),"Введите целое число или '-'"))</f>
        <v>0</v>
      </c>
      <c r="H78" s="150"/>
      <c r="I78" s="151">
        <f t="array" ref="I78">IF(H78=0,0,IF(MIN(IF(Атлет!$C$5:$C$104&gt;=H78,Атлет!$C$5:$C$104))=0,0,VLOOKUP(MIN(IF(Атлет!$C$5:$C$104&gt;=H78,Атлет!$C$5:$C$104)),Атлет!$C$5:$I$104,7)))</f>
        <v>0</v>
      </c>
      <c r="J78" s="152"/>
      <c r="K78" s="153">
        <f>IF(J78="-",0,IFERROR(IFERROR(VLOOKUP(J78,Атлет!$D$5:$I$104,6,FALSE),(IF(J78&lt;1,0,IF(INT(J78)&gt;=40,100,"Введите целое число")))),"Введите целое число или '-'"))</f>
        <v>0</v>
      </c>
      <c r="L78" s="154"/>
      <c r="M78" s="151">
        <f>IF(L78="-",0,IFERROR(IFERROR(VLOOKUP(L78,Атлет!$E$5:$I$104,5,FALSE),(IF(L78&lt;1,0,IF(INT(L78)&gt;=30,100,"Введите целое число")))),"Введите целое число или '-'"))</f>
        <v>0</v>
      </c>
      <c r="N78" s="155"/>
      <c r="O78" s="153">
        <f>IF(N78="-",0,IFERROR(IFERROR(VLOOKUP(N78,Атлет!$F$5:$I$104,4,FALSE),(IF(N78&lt;1,0,IF(INT(N78)&gt;=90,100,"Введите целое число")))),"Введите целое число или '-'"))</f>
        <v>0</v>
      </c>
      <c r="P78" s="154"/>
      <c r="Q78" s="151">
        <f>IF(P78="-",0,IFERROR(IFERROR(VLOOKUP(P78,Атлет!$G$5:$I$104,3,FALSE),(IF(P78&lt;1,0,IF(INT(P78)&gt;=100,100,"Введите целое число")))),"Введите целое число или '-'"))</f>
        <v>0</v>
      </c>
      <c r="R78" s="156"/>
      <c r="S78" s="149">
        <f t="array" ref="S78">IF(R78=0,0,IF(MIN(IF(Атлет!$H$5:$H$104&gt;=R78,Атлет!$H$5:$H$104))=0,0,VLOOKUP(MIN(IF(Атлет!$H$5:$H$104&gt;=R78,Атлет!$H$5:$H$104)),Атлет!$H$5:$I$104,2)))</f>
        <v>0</v>
      </c>
      <c r="T78" s="157">
        <f>S78+Q78+O78+M78+K78+I78+G78</f>
        <v>0</v>
      </c>
      <c r="U78" s="144" t="str">
        <f>IF(T78&lt;=0, "", RANK(T78,$T$5:$T$104,0))</f>
        <v/>
      </c>
    </row>
    <row r="79" spans="1:21" ht="20.100000000000001" customHeight="1" x14ac:dyDescent="0.2">
      <c r="A79" s="145">
        <v>75</v>
      </c>
      <c r="B79" s="146"/>
      <c r="C79" s="146"/>
      <c r="D79" s="158"/>
      <c r="E79" s="165"/>
      <c r="F79" s="148"/>
      <c r="G79" s="149">
        <f>IF(F79="-",0,IFERROR(IFERROR(VLOOKUP(F79,Атлет!$B$5:$I$104,8,FALSE),(IF(F79&lt;1,0,IF(INT(F79)&gt;=25,100,"Введите целое число")))),"Введите целое число или '-'"))</f>
        <v>0</v>
      </c>
      <c r="H79" s="150"/>
      <c r="I79" s="151">
        <f t="array" ref="I79">IF(H79=0,0,IF(MIN(IF(Атлет!$C$5:$C$104&gt;=H79,Атлет!$C$5:$C$104))=0,0,VLOOKUP(MIN(IF(Атлет!$C$5:$C$104&gt;=H79,Атлет!$C$5:$C$104)),Атлет!$C$5:$I$104,7)))</f>
        <v>0</v>
      </c>
      <c r="J79" s="152"/>
      <c r="K79" s="153">
        <f>IF(J79="-",0,IFERROR(IFERROR(VLOOKUP(J79,Атлет!$D$5:$I$104,6,FALSE),(IF(J79&lt;1,0,IF(INT(J79)&gt;=40,100,"Введите целое число")))),"Введите целое число или '-'"))</f>
        <v>0</v>
      </c>
      <c r="L79" s="163"/>
      <c r="M79" s="151">
        <f>IF(L79="-",0,IFERROR(IFERROR(VLOOKUP(L79,Атлет!$E$5:$I$104,5,FALSE),(IF(L79&lt;1,0,IF(INT(L79)&gt;=30,100,"Введите целое число")))),"Введите целое число или '-'"))</f>
        <v>0</v>
      </c>
      <c r="N79" s="148"/>
      <c r="O79" s="153">
        <f>IF(N79="-",0,IFERROR(IFERROR(VLOOKUP(N79,Атлет!$F$5:$I$104,4,FALSE),(IF(N79&lt;1,0,IF(INT(N79)&gt;=90,100,"Введите целое число")))),"Введите целое число или '-'"))</f>
        <v>0</v>
      </c>
      <c r="P79" s="154"/>
      <c r="Q79" s="151">
        <f>IF(P79="-",0,IFERROR(IFERROR(VLOOKUP(P79,Атлет!$G$5:$I$104,3,FALSE),(IF(P79&lt;1,0,IF(INT(P79)&gt;=100,100,"Введите целое число")))),"Введите целое число или '-'"))</f>
        <v>0</v>
      </c>
      <c r="R79" s="156"/>
      <c r="S79" s="149">
        <f t="array" ref="S79">IF(R79=0,0,IF(MIN(IF(Атлет!$H$5:$H$104&gt;=R79,Атлет!$H$5:$H$104))=0,0,VLOOKUP(MIN(IF(Атлет!$H$5:$H$104&gt;=R79,Атлет!$H$5:$H$104)),Атлет!$H$5:$I$104,2)))</f>
        <v>0</v>
      </c>
      <c r="T79" s="157">
        <f>S79+Q79+O79+M79+K79+I79+G79</f>
        <v>0</v>
      </c>
      <c r="U79" s="144" t="str">
        <f>IF(T79&lt;=0, "", RANK(T79,$T$5:$T$104,0))</f>
        <v/>
      </c>
    </row>
    <row r="80" spans="1:21" ht="20.100000000000001" customHeight="1" x14ac:dyDescent="0.2">
      <c r="A80" s="132">
        <v>76</v>
      </c>
      <c r="B80" s="146"/>
      <c r="C80" s="146"/>
      <c r="D80" s="158"/>
      <c r="E80" s="164"/>
      <c r="F80" s="148"/>
      <c r="G80" s="149">
        <f>IF(F80="-",0,IFERROR(IFERROR(VLOOKUP(F80,Атлет!$B$5:$I$104,8,FALSE),(IF(F80&lt;1,0,IF(INT(F80)&gt;=25,100,"Введите целое число")))),"Введите целое число или '-'"))</f>
        <v>0</v>
      </c>
      <c r="H80" s="150"/>
      <c r="I80" s="151">
        <f t="array" ref="I80">IF(H80=0,0,IF(MIN(IF(Атлет!$C$5:$C$104&gt;=H80,Атлет!$C$5:$C$104))=0,0,VLOOKUP(MIN(IF(Атлет!$C$5:$C$104&gt;=H80,Атлет!$C$5:$C$104)),Атлет!$C$5:$I$104,7)))</f>
        <v>0</v>
      </c>
      <c r="J80" s="152"/>
      <c r="K80" s="153">
        <f>IF(J80="-",0,IFERROR(IFERROR(VLOOKUP(J80,Атлет!$D$5:$I$104,6,FALSE),(IF(J80&lt;1,0,IF(INT(J80)&gt;=40,100,"Введите целое число")))),"Введите целое число или '-'"))</f>
        <v>0</v>
      </c>
      <c r="L80" s="163"/>
      <c r="M80" s="151">
        <f>IF(L80="-",0,IFERROR(IFERROR(VLOOKUP(L80,Атлет!$E$5:$I$104,5,FALSE),(IF(L80&lt;1,0,IF(INT(L80)&gt;=30,100,"Введите целое число")))),"Введите целое число или '-'"))</f>
        <v>0</v>
      </c>
      <c r="N80" s="155"/>
      <c r="O80" s="153">
        <f>IF(N80="-",0,IFERROR(IFERROR(VLOOKUP(N80,Атлет!$F$5:$I$104,4,FALSE),(IF(N80&lt;1,0,IF(INT(N80)&gt;=90,100,"Введите целое число")))),"Введите целое число или '-'"))</f>
        <v>0</v>
      </c>
      <c r="P80" s="154"/>
      <c r="Q80" s="151">
        <f>IF(P80="-",0,IFERROR(IFERROR(VLOOKUP(P80,Атлет!$G$5:$I$104,3,FALSE),(IF(P80&lt;1,0,IF(INT(P80)&gt;=100,100,"Введите целое число")))),"Введите целое число или '-'"))</f>
        <v>0</v>
      </c>
      <c r="R80" s="156"/>
      <c r="S80" s="149">
        <f t="array" ref="S80">IF(R80=0,0,IF(MIN(IF(Атлет!$H$5:$H$104&gt;=R80,Атлет!$H$5:$H$104))=0,0,VLOOKUP(MIN(IF(Атлет!$H$5:$H$104&gt;=R80,Атлет!$H$5:$H$104)),Атлет!$H$5:$I$104,2)))</f>
        <v>0</v>
      </c>
      <c r="T80" s="157">
        <f>S80+Q80+O80+M80+K80+I80+G80</f>
        <v>0</v>
      </c>
      <c r="U80" s="144" t="str">
        <f>IF(T80&lt;=0, "", RANK(T80,$T$5:$T$104,0))</f>
        <v/>
      </c>
    </row>
    <row r="81" spans="1:21" ht="20.100000000000001" customHeight="1" x14ac:dyDescent="0.2">
      <c r="A81" s="145">
        <v>77</v>
      </c>
      <c r="B81" s="146"/>
      <c r="C81" s="146"/>
      <c r="D81" s="158"/>
      <c r="E81" s="165"/>
      <c r="F81" s="148"/>
      <c r="G81" s="149">
        <f>IF(F81="-",0,IFERROR(IFERROR(VLOOKUP(F81,Атлет!$B$5:$I$104,8,FALSE),(IF(F81&lt;1,0,IF(INT(F81)&gt;=25,100,"Введите целое число")))),"Введите целое число или '-'"))</f>
        <v>0</v>
      </c>
      <c r="H81" s="150"/>
      <c r="I81" s="151">
        <f t="array" ref="I81">IF(H81=0,0,IF(MIN(IF(Атлет!$C$5:$C$104&gt;=H81,Атлет!$C$5:$C$104))=0,0,VLOOKUP(MIN(IF(Атлет!$C$5:$C$104&gt;=H81,Атлет!$C$5:$C$104)),Атлет!$C$5:$I$104,7)))</f>
        <v>0</v>
      </c>
      <c r="J81" s="152"/>
      <c r="K81" s="153">
        <f>IF(J81="-",0,IFERROR(IFERROR(VLOOKUP(J81,Атлет!$D$5:$I$104,6,FALSE),(IF(J81&lt;1,0,IF(INT(J81)&gt;=40,100,"Введите целое число")))),"Введите целое число или '-'"))</f>
        <v>0</v>
      </c>
      <c r="L81" s="154"/>
      <c r="M81" s="151">
        <f>IF(L81="-",0,IFERROR(IFERROR(VLOOKUP(L81,Атлет!$E$5:$I$104,5,FALSE),(IF(L81&lt;1,0,IF(INT(L81)&gt;=30,100,"Введите целое число")))),"Введите целое число или '-'"))</f>
        <v>0</v>
      </c>
      <c r="N81" s="155"/>
      <c r="O81" s="153">
        <f>IF(N81="-",0,IFERROR(IFERROR(VLOOKUP(N81,Атлет!$F$5:$I$104,4,FALSE),(IF(N81&lt;1,0,IF(INT(N81)&gt;=90,100,"Введите целое число")))),"Введите целое число или '-'"))</f>
        <v>0</v>
      </c>
      <c r="P81" s="154"/>
      <c r="Q81" s="151">
        <f>IF(P81="-",0,IFERROR(IFERROR(VLOOKUP(P81,Атлет!$G$5:$I$104,3,FALSE),(IF(P81&lt;1,0,IF(INT(P81)&gt;=100,100,"Введите целое число")))),"Введите целое число или '-'"))</f>
        <v>0</v>
      </c>
      <c r="R81" s="156"/>
      <c r="S81" s="149">
        <f t="array" ref="S81">IF(R81=0,0,IF(MIN(IF(Атлет!$H$5:$H$104&gt;=R81,Атлет!$H$5:$H$104))=0,0,VLOOKUP(MIN(IF(Атлет!$H$5:$H$104&gt;=R81,Атлет!$H$5:$H$104)),Атлет!$H$5:$I$104,2)))</f>
        <v>0</v>
      </c>
      <c r="T81" s="157">
        <f>S81+Q81+O81+M81+K81+I81+G81</f>
        <v>0</v>
      </c>
      <c r="U81" s="144" t="str">
        <f>IF(T81&lt;=0, "", RANK(T81,$T$5:$T$104,0))</f>
        <v/>
      </c>
    </row>
    <row r="82" spans="1:21" ht="20.100000000000001" customHeight="1" x14ac:dyDescent="0.2">
      <c r="A82" s="145">
        <v>78</v>
      </c>
      <c r="B82" s="146"/>
      <c r="C82" s="146"/>
      <c r="D82" s="158"/>
      <c r="E82" s="165"/>
      <c r="F82" s="148"/>
      <c r="G82" s="149">
        <f>IF(F82="-",0,IFERROR(IFERROR(VLOOKUP(F82,Атлет!$B$5:$I$104,8,FALSE),(IF(F82&lt;1,0,IF(INT(F82)&gt;=25,100,"Введите целое число")))),"Введите целое число или '-'"))</f>
        <v>0</v>
      </c>
      <c r="H82" s="150"/>
      <c r="I82" s="151">
        <f t="array" ref="I82">IF(H82=0,0,IF(MIN(IF(Атлет!$C$5:$C$104&gt;=H82,Атлет!$C$5:$C$104))=0,0,VLOOKUP(MIN(IF(Атлет!$C$5:$C$104&gt;=H82,Атлет!$C$5:$C$104)),Атлет!$C$5:$I$104,7)))</f>
        <v>0</v>
      </c>
      <c r="J82" s="152"/>
      <c r="K82" s="153">
        <f>IF(J82="-",0,IFERROR(IFERROR(VLOOKUP(J82,Атлет!$D$5:$I$104,6,FALSE),(IF(J82&lt;1,0,IF(INT(J82)&gt;=40,100,"Введите целое число")))),"Введите целое число или '-'"))</f>
        <v>0</v>
      </c>
      <c r="L82" s="163"/>
      <c r="M82" s="151">
        <f>IF(L82="-",0,IFERROR(IFERROR(VLOOKUP(L82,Атлет!$E$5:$I$104,5,FALSE),(IF(L82&lt;1,0,IF(INT(L82)&gt;=30,100,"Введите целое число")))),"Введите целое число или '-'"))</f>
        <v>0</v>
      </c>
      <c r="N82" s="148"/>
      <c r="O82" s="153">
        <f>IF(N82="-",0,IFERROR(IFERROR(VLOOKUP(N82,Атлет!$F$5:$I$104,4,FALSE),(IF(N82&lt;1,0,IF(INT(N82)&gt;=90,100,"Введите целое число")))),"Введите целое число или '-'"))</f>
        <v>0</v>
      </c>
      <c r="P82" s="154"/>
      <c r="Q82" s="151">
        <f>IF(P82="-",0,IFERROR(IFERROR(VLOOKUP(P82,Атлет!$G$5:$I$104,3,FALSE),(IF(P82&lt;1,0,IF(INT(P82)&gt;=100,100,"Введите целое число")))),"Введите целое число или '-'"))</f>
        <v>0</v>
      </c>
      <c r="R82" s="156"/>
      <c r="S82" s="149">
        <f t="array" ref="S82">IF(R82=0,0,IF(MIN(IF(Атлет!$H$5:$H$104&gt;=R82,Атлет!$H$5:$H$104))=0,0,VLOOKUP(MIN(IF(Атлет!$H$5:$H$104&gt;=R82,Атлет!$H$5:$H$104)),Атлет!$H$5:$I$104,2)))</f>
        <v>0</v>
      </c>
      <c r="T82" s="157">
        <f>S82+Q82+O82+M82+K82+I82+G82</f>
        <v>0</v>
      </c>
      <c r="U82" s="144" t="str">
        <f>IF(T82&lt;=0, "", RANK(T82,$T$5:$T$104,0))</f>
        <v/>
      </c>
    </row>
    <row r="83" spans="1:21" ht="20.100000000000001" customHeight="1" x14ac:dyDescent="0.2">
      <c r="A83" s="132">
        <v>79</v>
      </c>
      <c r="B83" s="146"/>
      <c r="C83" s="146"/>
      <c r="D83" s="158"/>
      <c r="E83" s="165"/>
      <c r="F83" s="148"/>
      <c r="G83" s="149">
        <f>IF(F83="-",0,IFERROR(IFERROR(VLOOKUP(F83,Атлет!$B$5:$I$104,8,FALSE),(IF(F83&lt;1,0,IF(INT(F83)&gt;=25,100,"Введите целое число")))),"Введите целое число или '-'"))</f>
        <v>0</v>
      </c>
      <c r="H83" s="150"/>
      <c r="I83" s="151">
        <f t="array" ref="I83">IF(H83=0,0,IF(MIN(IF(Атлет!$C$5:$C$104&gt;=H83,Атлет!$C$5:$C$104))=0,0,VLOOKUP(MIN(IF(Атлет!$C$5:$C$104&gt;=H83,Атлет!$C$5:$C$104)),Атлет!$C$5:$I$104,7)))</f>
        <v>0</v>
      </c>
      <c r="J83" s="152"/>
      <c r="K83" s="153">
        <f>IF(J83="-",0,IFERROR(IFERROR(VLOOKUP(J83,Атлет!$D$5:$I$104,6,FALSE),(IF(J83&lt;1,0,IF(INT(J83)&gt;=40,100,"Введите целое число")))),"Введите целое число или '-'"))</f>
        <v>0</v>
      </c>
      <c r="L83" s="163"/>
      <c r="M83" s="151">
        <f>IF(L83="-",0,IFERROR(IFERROR(VLOOKUP(L83,Атлет!$E$5:$I$104,5,FALSE),(IF(L83&lt;1,0,IF(INT(L83)&gt;=30,100,"Введите целое число")))),"Введите целое число или '-'"))</f>
        <v>0</v>
      </c>
      <c r="N83" s="155"/>
      <c r="O83" s="153">
        <f>IF(N83="-",0,IFERROR(IFERROR(VLOOKUP(N83,Атлет!$F$5:$I$104,4,FALSE),(IF(N83&lt;1,0,IF(INT(N83)&gt;=90,100,"Введите целое число")))),"Введите целое число или '-'"))</f>
        <v>0</v>
      </c>
      <c r="P83" s="154"/>
      <c r="Q83" s="151">
        <f>IF(P83="-",0,IFERROR(IFERROR(VLOOKUP(P83,Атлет!$G$5:$I$104,3,FALSE),(IF(P83&lt;1,0,IF(INT(P83)&gt;=100,100,"Введите целое число")))),"Введите целое число или '-'"))</f>
        <v>0</v>
      </c>
      <c r="R83" s="156"/>
      <c r="S83" s="149">
        <f t="array" ref="S83">IF(R83=0,0,IF(MIN(IF(Атлет!$H$5:$H$104&gt;=R83,Атлет!$H$5:$H$104))=0,0,VLOOKUP(MIN(IF(Атлет!$H$5:$H$104&gt;=R83,Атлет!$H$5:$H$104)),Атлет!$H$5:$I$104,2)))</f>
        <v>0</v>
      </c>
      <c r="T83" s="157">
        <f>S83+Q83+O83+M83+K83+I83+G83</f>
        <v>0</v>
      </c>
      <c r="U83" s="144" t="str">
        <f>IF(T83&lt;=0, "", RANK(T83,$T$5:$T$104,0))</f>
        <v/>
      </c>
    </row>
    <row r="84" spans="1:21" ht="20.100000000000001" customHeight="1" x14ac:dyDescent="0.2">
      <c r="A84" s="145">
        <v>80</v>
      </c>
      <c r="B84" s="146"/>
      <c r="C84" s="146"/>
      <c r="D84" s="158"/>
      <c r="E84" s="164"/>
      <c r="F84" s="148"/>
      <c r="G84" s="149">
        <f>IF(F84="-",0,IFERROR(IFERROR(VLOOKUP(F84,Атлет!$B$5:$I$104,8,FALSE),(IF(F84&lt;1,0,IF(INT(F84)&gt;=25,100,"Введите целое число")))),"Введите целое число или '-'"))</f>
        <v>0</v>
      </c>
      <c r="H84" s="150"/>
      <c r="I84" s="151">
        <f t="array" ref="I84">IF(H84=0,0,IF(MIN(IF(Атлет!$C$5:$C$104&gt;=H84,Атлет!$C$5:$C$104))=0,0,VLOOKUP(MIN(IF(Атлет!$C$5:$C$104&gt;=H84,Атлет!$C$5:$C$104)),Атлет!$C$5:$I$104,7)))</f>
        <v>0</v>
      </c>
      <c r="J84" s="152"/>
      <c r="K84" s="153">
        <f>IF(J84="-",0,IFERROR(IFERROR(VLOOKUP(J84,Атлет!$D$5:$I$104,6,FALSE),(IF(J84&lt;1,0,IF(INT(J84)&gt;=40,100,"Введите целое число")))),"Введите целое число или '-'"))</f>
        <v>0</v>
      </c>
      <c r="L84" s="154"/>
      <c r="M84" s="151">
        <f>IF(L84="-",0,IFERROR(IFERROR(VLOOKUP(L84,Атлет!$E$5:$I$104,5,FALSE),(IF(L84&lt;1,0,IF(INT(L84)&gt;=30,100,"Введите целое число")))),"Введите целое число или '-'"))</f>
        <v>0</v>
      </c>
      <c r="N84" s="155"/>
      <c r="O84" s="153">
        <f>IF(N84="-",0,IFERROR(IFERROR(VLOOKUP(N84,Атлет!$F$5:$I$104,4,FALSE),(IF(N84&lt;1,0,IF(INT(N84)&gt;=90,100,"Введите целое число")))),"Введите целое число или '-'"))</f>
        <v>0</v>
      </c>
      <c r="P84" s="154"/>
      <c r="Q84" s="151">
        <f>IF(P84="-",0,IFERROR(IFERROR(VLOOKUP(P84,Атлет!$G$5:$I$104,3,FALSE),(IF(P84&lt;1,0,IF(INT(P84)&gt;=100,100,"Введите целое число")))),"Введите целое число или '-'"))</f>
        <v>0</v>
      </c>
      <c r="R84" s="156"/>
      <c r="S84" s="149">
        <f t="array" ref="S84">IF(R84=0,0,IF(MIN(IF(Атлет!$H$5:$H$104&gt;=R84,Атлет!$H$5:$H$104))=0,0,VLOOKUP(MIN(IF(Атлет!$H$5:$H$104&gt;=R84,Атлет!$H$5:$H$104)),Атлет!$H$5:$I$104,2)))</f>
        <v>0</v>
      </c>
      <c r="T84" s="157">
        <f>S84+Q84+O84+M84+K84+I84+G84</f>
        <v>0</v>
      </c>
      <c r="U84" s="144" t="str">
        <f>IF(T84&lt;=0, "", RANK(T84,$T$5:$T$104,0))</f>
        <v/>
      </c>
    </row>
    <row r="85" spans="1:21" ht="20.100000000000001" customHeight="1" x14ac:dyDescent="0.2">
      <c r="A85" s="145">
        <v>81</v>
      </c>
      <c r="B85" s="146"/>
      <c r="C85" s="146"/>
      <c r="D85" s="158"/>
      <c r="E85" s="164"/>
      <c r="F85" s="148"/>
      <c r="G85" s="149">
        <f>IF(F85="-",0,IFERROR(IFERROR(VLOOKUP(F85,Атлет!$B$5:$I$104,8,FALSE),(IF(F85&lt;1,0,IF(INT(F85)&gt;=25,100,"Введите целое число")))),"Введите целое число или '-'"))</f>
        <v>0</v>
      </c>
      <c r="H85" s="150"/>
      <c r="I85" s="151">
        <f t="array" ref="I85">IF(H85=0,0,IF(MIN(IF(Атлет!$C$5:$C$104&gt;=H85,Атлет!$C$5:$C$104))=0,0,VLOOKUP(MIN(IF(Атлет!$C$5:$C$104&gt;=H85,Атлет!$C$5:$C$104)),Атлет!$C$5:$I$104,7)))</f>
        <v>0</v>
      </c>
      <c r="J85" s="152"/>
      <c r="K85" s="153">
        <f>IF(J85="-",0,IFERROR(IFERROR(VLOOKUP(J85,Атлет!$D$5:$I$104,6,FALSE),(IF(J85&lt;1,0,IF(INT(J85)&gt;=40,100,"Введите целое число")))),"Введите целое число или '-'"))</f>
        <v>0</v>
      </c>
      <c r="L85" s="163"/>
      <c r="M85" s="151">
        <f>IF(L85="-",0,IFERROR(IFERROR(VLOOKUP(L85,Атлет!$E$5:$I$104,5,FALSE),(IF(L85&lt;1,0,IF(INT(L85)&gt;=30,100,"Введите целое число")))),"Введите целое число или '-'"))</f>
        <v>0</v>
      </c>
      <c r="N85" s="148"/>
      <c r="O85" s="153">
        <f>IF(N85="-",0,IFERROR(IFERROR(VLOOKUP(N85,Атлет!$F$5:$I$104,4,FALSE),(IF(N85&lt;1,0,IF(INT(N85)&gt;=90,100,"Введите целое число")))),"Введите целое число или '-'"))</f>
        <v>0</v>
      </c>
      <c r="P85" s="154"/>
      <c r="Q85" s="151">
        <f>IF(P85="-",0,IFERROR(IFERROR(VLOOKUP(P85,Атлет!$G$5:$I$104,3,FALSE),(IF(P85&lt;1,0,IF(INT(P85)&gt;=100,100,"Введите целое число")))),"Введите целое число или '-'"))</f>
        <v>0</v>
      </c>
      <c r="R85" s="156"/>
      <c r="S85" s="149">
        <f t="array" ref="S85">IF(R85=0,0,IF(MIN(IF(Атлет!$H$5:$H$104&gt;=R85,Атлет!$H$5:$H$104))=0,0,VLOOKUP(MIN(IF(Атлет!$H$5:$H$104&gt;=R85,Атлет!$H$5:$H$104)),Атлет!$H$5:$I$104,2)))</f>
        <v>0</v>
      </c>
      <c r="T85" s="157">
        <f>S85+Q85+O85+M85+K85+I85+G85</f>
        <v>0</v>
      </c>
      <c r="U85" s="144" t="str">
        <f>IF(T85&lt;=0, "", RANK(T85,$T$5:$T$104,0))</f>
        <v/>
      </c>
    </row>
    <row r="86" spans="1:21" ht="20.100000000000001" customHeight="1" x14ac:dyDescent="0.3">
      <c r="A86" s="132">
        <v>82</v>
      </c>
      <c r="B86" s="146"/>
      <c r="C86" s="146"/>
      <c r="D86" s="168"/>
      <c r="E86" s="164"/>
      <c r="F86" s="148"/>
      <c r="G86" s="149">
        <f>IF(F86="-",0,IFERROR(IFERROR(VLOOKUP(F86,Атлет!$B$5:$I$104,8,FALSE),(IF(F86&lt;1,0,IF(INT(F86)&gt;=25,100,"Введите целое число")))),"Введите целое число или '-'"))</f>
        <v>0</v>
      </c>
      <c r="H86" s="150"/>
      <c r="I86" s="151">
        <f t="array" ref="I86">IF(H86=0,0,IF(MIN(IF(Атлет!$C$5:$C$104&gt;=H86,Атлет!$C$5:$C$104))=0,0,VLOOKUP(MIN(IF(Атлет!$C$5:$C$104&gt;=H86,Атлет!$C$5:$C$104)),Атлет!$C$5:$I$104,7)))</f>
        <v>0</v>
      </c>
      <c r="J86" s="152"/>
      <c r="K86" s="153">
        <f>IF(J86="-",0,IFERROR(IFERROR(VLOOKUP(J86,Атлет!$D$5:$I$104,6,FALSE),(IF(J86&lt;1,0,IF(INT(J86)&gt;=40,100,"Введите целое число")))),"Введите целое число или '-'"))</f>
        <v>0</v>
      </c>
      <c r="L86" s="163"/>
      <c r="M86" s="151">
        <f>IF(L86="-",0,IFERROR(IFERROR(VLOOKUP(L86,Атлет!$E$5:$I$104,5,FALSE),(IF(L86&lt;1,0,IF(INT(L86)&gt;=30,100,"Введите целое число")))),"Введите целое число или '-'"))</f>
        <v>0</v>
      </c>
      <c r="N86" s="155"/>
      <c r="O86" s="153">
        <f>IF(N86="-",0,IFERROR(IFERROR(VLOOKUP(N86,Атлет!$F$5:$I$104,4,FALSE),(IF(N86&lt;1,0,IF(INT(N86)&gt;=90,100,"Введите целое число")))),"Введите целое число или '-'"))</f>
        <v>0</v>
      </c>
      <c r="P86" s="154"/>
      <c r="Q86" s="151">
        <f>IF(P86="-",0,IFERROR(IFERROR(VLOOKUP(P86,Атлет!$G$5:$I$104,3,FALSE),(IF(P86&lt;1,0,IF(INT(P86)&gt;=100,100,"Введите целое число")))),"Введите целое число или '-'"))</f>
        <v>0</v>
      </c>
      <c r="R86" s="156"/>
      <c r="S86" s="149">
        <f t="array" ref="S86">IF(R86=0,0,IF(MIN(IF(Атлет!$H$5:$H$104&gt;=R86,Атлет!$H$5:$H$104))=0,0,VLOOKUP(MIN(IF(Атлет!$H$5:$H$104&gt;=R86,Атлет!$H$5:$H$104)),Атлет!$H$5:$I$104,2)))</f>
        <v>0</v>
      </c>
      <c r="T86" s="157">
        <f>S86+Q86+O86+M86+K86+I86+G86</f>
        <v>0</v>
      </c>
      <c r="U86" s="144" t="str">
        <f>IF(T86&lt;=0, "", RANK(T86,$T$5:$T$104,0))</f>
        <v/>
      </c>
    </row>
    <row r="87" spans="1:21" ht="20.100000000000001" customHeight="1" x14ac:dyDescent="0.2">
      <c r="A87" s="145">
        <v>83</v>
      </c>
      <c r="B87" s="146"/>
      <c r="C87" s="146"/>
      <c r="D87" s="147"/>
      <c r="E87" s="165"/>
      <c r="F87" s="148"/>
      <c r="G87" s="149">
        <f>IF(F87="-",0,IFERROR(IFERROR(VLOOKUP(F87,Атлет!$B$5:$I$104,8,FALSE),(IF(F87&lt;1,0,IF(INT(F87)&gt;=25,100,"Введите целое число")))),"Введите целое число или '-'"))</f>
        <v>0</v>
      </c>
      <c r="H87" s="150"/>
      <c r="I87" s="151">
        <f t="array" ref="I87">IF(H87=0,0,IF(MIN(IF(Атлет!$C$5:$C$104&gt;=H87,Атлет!$C$5:$C$104))=0,0,VLOOKUP(MIN(IF(Атлет!$C$5:$C$104&gt;=H87,Атлет!$C$5:$C$104)),Атлет!$C$5:$I$104,7)))</f>
        <v>0</v>
      </c>
      <c r="J87" s="152"/>
      <c r="K87" s="153">
        <f>IF(J87="-",0,IFERROR(IFERROR(VLOOKUP(J87,Атлет!$D$5:$I$104,6,FALSE),(IF(J87&lt;1,0,IF(INT(J87)&gt;=40,100,"Введите целое число")))),"Введите целое число или '-'"))</f>
        <v>0</v>
      </c>
      <c r="L87" s="154"/>
      <c r="M87" s="151">
        <f>IF(L87="-",0,IFERROR(IFERROR(VLOOKUP(L87,Атлет!$E$5:$I$104,5,FALSE),(IF(L87&lt;1,0,IF(INT(L87)&gt;=30,100,"Введите целое число")))),"Введите целое число или '-'"))</f>
        <v>0</v>
      </c>
      <c r="N87" s="155"/>
      <c r="O87" s="153">
        <f>IF(N87="-",0,IFERROR(IFERROR(VLOOKUP(N87,Атлет!$F$5:$I$104,4,FALSE),(IF(N87&lt;1,0,IF(INT(N87)&gt;=90,100,"Введите целое число")))),"Введите целое число или '-'"))</f>
        <v>0</v>
      </c>
      <c r="P87" s="154"/>
      <c r="Q87" s="151">
        <f>IF(P87="-",0,IFERROR(IFERROR(VLOOKUP(P87,Атлет!$G$5:$I$104,3,FALSE),(IF(P87&lt;1,0,IF(INT(P87)&gt;=100,100,"Введите целое число")))),"Введите целое число или '-'"))</f>
        <v>0</v>
      </c>
      <c r="R87" s="156"/>
      <c r="S87" s="149">
        <f t="array" ref="S87">IF(R87=0,0,IF(MIN(IF(Атлет!$H$5:$H$104&gt;=R87,Атлет!$H$5:$H$104))=0,0,VLOOKUP(MIN(IF(Атлет!$H$5:$H$104&gt;=R87,Атлет!$H$5:$H$104)),Атлет!$H$5:$I$104,2)))</f>
        <v>0</v>
      </c>
      <c r="T87" s="157">
        <f>S87+Q87+O87+M87+K87+I87+G87</f>
        <v>0</v>
      </c>
      <c r="U87" s="144" t="str">
        <f>IF(T87&lt;=0, "", RANK(T87,$T$5:$T$104,0))</f>
        <v/>
      </c>
    </row>
    <row r="88" spans="1:21" ht="20.100000000000001" customHeight="1" x14ac:dyDescent="0.2">
      <c r="A88" s="145">
        <v>84</v>
      </c>
      <c r="B88" s="146"/>
      <c r="C88" s="146"/>
      <c r="D88" s="158"/>
      <c r="E88" s="165"/>
      <c r="F88" s="148"/>
      <c r="G88" s="149">
        <f>IF(F88="-",0,IFERROR(IFERROR(VLOOKUP(F88,Атлет!$B$5:$I$104,8,FALSE),(IF(F88&lt;1,0,IF(INT(F88)&gt;=25,100,"Введите целое число")))),"Введите целое число или '-'"))</f>
        <v>0</v>
      </c>
      <c r="H88" s="150"/>
      <c r="I88" s="151">
        <f t="array" ref="I88">IF(H88=0,0,IF(MIN(IF(Атлет!$C$5:$C$104&gt;=H88,Атлет!$C$5:$C$104))=0,0,VLOOKUP(MIN(IF(Атлет!$C$5:$C$104&gt;=H88,Атлет!$C$5:$C$104)),Атлет!$C$5:$I$104,7)))</f>
        <v>0</v>
      </c>
      <c r="J88" s="152"/>
      <c r="K88" s="153">
        <f>IF(J88="-",0,IFERROR(IFERROR(VLOOKUP(J88,Атлет!$D$5:$I$104,6,FALSE),(IF(J88&lt;1,0,IF(INT(J88)&gt;=40,100,"Введите целое число")))),"Введите целое число или '-'"))</f>
        <v>0</v>
      </c>
      <c r="L88" s="163"/>
      <c r="M88" s="151">
        <f>IF(L88="-",0,IFERROR(IFERROR(VLOOKUP(L88,Атлет!$E$5:$I$104,5,FALSE),(IF(L88&lt;1,0,IF(INT(L88)&gt;=30,100,"Введите целое число")))),"Введите целое число или '-'"))</f>
        <v>0</v>
      </c>
      <c r="N88" s="148"/>
      <c r="O88" s="153">
        <f>IF(N88="-",0,IFERROR(IFERROR(VLOOKUP(N88,Атлет!$F$5:$I$104,4,FALSE),(IF(N88&lt;1,0,IF(INT(N88)&gt;=90,100,"Введите целое число")))),"Введите целое число или '-'"))</f>
        <v>0</v>
      </c>
      <c r="P88" s="154"/>
      <c r="Q88" s="151">
        <f>IF(P88="-",0,IFERROR(IFERROR(VLOOKUP(P88,Атлет!$G$5:$I$104,3,FALSE),(IF(P88&lt;1,0,IF(INT(P88)&gt;=100,100,"Введите целое число")))),"Введите целое число или '-'"))</f>
        <v>0</v>
      </c>
      <c r="R88" s="156"/>
      <c r="S88" s="149">
        <f t="array" ref="S88">IF(R88=0,0,IF(MIN(IF(Атлет!$H$5:$H$104&gt;=R88,Атлет!$H$5:$H$104))=0,0,VLOOKUP(MIN(IF(Атлет!$H$5:$H$104&gt;=R88,Атлет!$H$5:$H$104)),Атлет!$H$5:$I$104,2)))</f>
        <v>0</v>
      </c>
      <c r="T88" s="157">
        <f>S88+Q88+O88+M88+K88+I88+G88</f>
        <v>0</v>
      </c>
      <c r="U88" s="144" t="str">
        <f>IF(T88&lt;=0, "", RANK(T88,$T$5:$T$104,0))</f>
        <v/>
      </c>
    </row>
    <row r="89" spans="1:21" ht="19.5" customHeight="1" x14ac:dyDescent="0.2">
      <c r="A89" s="132">
        <v>85</v>
      </c>
      <c r="B89" s="146"/>
      <c r="C89" s="146"/>
      <c r="D89" s="158"/>
      <c r="E89" s="165"/>
      <c r="F89" s="148"/>
      <c r="G89" s="149">
        <f>IF(F89="-",0,IFERROR(IFERROR(VLOOKUP(F89,Атлет!$B$5:$I$104,8,FALSE),(IF(F89&lt;1,0,IF(INT(F89)&gt;=25,100,"Введите целое число")))),"Введите целое число или '-'"))</f>
        <v>0</v>
      </c>
      <c r="H89" s="150"/>
      <c r="I89" s="151">
        <f t="array" ref="I89">IF(H89=0,0,IF(MIN(IF(Атлет!$C$5:$C$104&gt;=H89,Атлет!$C$5:$C$104))=0,0,VLOOKUP(MIN(IF(Атлет!$C$5:$C$104&gt;=H89,Атлет!$C$5:$C$104)),Атлет!$C$5:$I$104,7)))</f>
        <v>0</v>
      </c>
      <c r="J89" s="152"/>
      <c r="K89" s="153">
        <f>IF(J89="-",0,IFERROR(IFERROR(VLOOKUP(J89,Атлет!$D$5:$I$104,6,FALSE),(IF(J89&lt;1,0,IF(INT(J89)&gt;=40,100,"Введите целое число")))),"Введите целое число или '-'"))</f>
        <v>0</v>
      </c>
      <c r="L89" s="163"/>
      <c r="M89" s="151">
        <f>IF(L89="-",0,IFERROR(IFERROR(VLOOKUP(L89,Атлет!$E$5:$I$104,5,FALSE),(IF(L89&lt;1,0,IF(INT(L89)&gt;=30,100,"Введите целое число")))),"Введите целое число или '-'"))</f>
        <v>0</v>
      </c>
      <c r="N89" s="155"/>
      <c r="O89" s="153">
        <f>IF(N89="-",0,IFERROR(IFERROR(VLOOKUP(N89,Атлет!$F$5:$I$104,4,FALSE),(IF(N89&lt;1,0,IF(INT(N89)&gt;=90,100,"Введите целое число")))),"Введите целое число или '-'"))</f>
        <v>0</v>
      </c>
      <c r="P89" s="154"/>
      <c r="Q89" s="151">
        <f>IF(P89="-",0,IFERROR(IFERROR(VLOOKUP(P89,Атлет!$G$5:$I$104,3,FALSE),(IF(P89&lt;1,0,IF(INT(P89)&gt;=100,100,"Введите целое число")))),"Введите целое число или '-'"))</f>
        <v>0</v>
      </c>
      <c r="R89" s="156"/>
      <c r="S89" s="149">
        <f t="array" ref="S89">IF(R89=0,0,IF(MIN(IF(Атлет!$H$5:$H$104&gt;=R89,Атлет!$H$5:$H$104))=0,0,VLOOKUP(MIN(IF(Атлет!$H$5:$H$104&gt;=R89,Атлет!$H$5:$H$104)),Атлет!$H$5:$I$104,2)))</f>
        <v>0</v>
      </c>
      <c r="T89" s="157">
        <f>S89+Q89+O89+M89+K89+I89+G89</f>
        <v>0</v>
      </c>
      <c r="U89" s="144" t="str">
        <f>IF(T89&lt;=0, "", RANK(T89,$T$5:$T$104,0))</f>
        <v/>
      </c>
    </row>
    <row r="90" spans="1:21" ht="19.5" customHeight="1" x14ac:dyDescent="0.3">
      <c r="A90" s="145">
        <v>86</v>
      </c>
      <c r="B90" s="146"/>
      <c r="C90" s="146"/>
      <c r="D90" s="160"/>
      <c r="E90" s="165"/>
      <c r="F90" s="148"/>
      <c r="G90" s="149">
        <f>IF(F90="-",0,IFERROR(IFERROR(VLOOKUP(F90,Атлет!$B$5:$I$104,8,FALSE),(IF(F90&lt;1,0,IF(INT(F90)&gt;=25,100,"Введите целое число")))),"Введите целое число или '-'"))</f>
        <v>0</v>
      </c>
      <c r="H90" s="150"/>
      <c r="I90" s="151">
        <f t="array" ref="I90">IF(H90=0,0,IF(MIN(IF(Атлет!$C$5:$C$104&gt;=H90,Атлет!$C$5:$C$104))=0,0,VLOOKUP(MIN(IF(Атлет!$C$5:$C$104&gt;=H90,Атлет!$C$5:$C$104)),Атлет!$C$5:$I$104,7)))</f>
        <v>0</v>
      </c>
      <c r="J90" s="152"/>
      <c r="K90" s="153">
        <f>IF(J90="-",0,IFERROR(IFERROR(VLOOKUP(J90,Атлет!$D$5:$I$104,6,FALSE),(IF(J90&lt;1,0,IF(INT(J90)&gt;=40,100,"Введите целое число")))),"Введите целое число или '-'"))</f>
        <v>0</v>
      </c>
      <c r="L90" s="154"/>
      <c r="M90" s="151">
        <f>IF(L90="-",0,IFERROR(IFERROR(VLOOKUP(L90,Атлет!$E$5:$I$104,5,FALSE),(IF(L90&lt;1,0,IF(INT(L90)&gt;=30,100,"Введите целое число")))),"Введите целое число или '-'"))</f>
        <v>0</v>
      </c>
      <c r="N90" s="155"/>
      <c r="O90" s="153">
        <f>IF(N90="-",0,IFERROR(IFERROR(VLOOKUP(N90,Атлет!$F$5:$I$104,4,FALSE),(IF(N90&lt;1,0,IF(INT(N90)&gt;=90,100,"Введите целое число")))),"Введите целое число или '-'"))</f>
        <v>0</v>
      </c>
      <c r="P90" s="154"/>
      <c r="Q90" s="151">
        <f>IF(P90="-",0,IFERROR(IFERROR(VLOOKUP(P90,Атлет!$G$5:$I$104,3,FALSE),(IF(P90&lt;1,0,IF(INT(P90)&gt;=100,100,"Введите целое число")))),"Введите целое число или '-'"))</f>
        <v>0</v>
      </c>
      <c r="R90" s="156"/>
      <c r="S90" s="149">
        <f t="array" ref="S90">IF(R90=0,0,IF(MIN(IF(Атлет!$H$5:$H$104&gt;=R90,Атлет!$H$5:$H$104))=0,0,VLOOKUP(MIN(IF(Атлет!$H$5:$H$104&gt;=R90,Атлет!$H$5:$H$104)),Атлет!$H$5:$I$104,2)))</f>
        <v>0</v>
      </c>
      <c r="T90" s="157">
        <f>S90+Q90+O90+M90+K90+I90+G90</f>
        <v>0</v>
      </c>
      <c r="U90" s="144" t="str">
        <f>IF(T90&lt;=0, "", RANK(T90,$T$5:$T$104,0))</f>
        <v/>
      </c>
    </row>
    <row r="91" spans="1:21" ht="19.5" customHeight="1" x14ac:dyDescent="0.3">
      <c r="A91" s="145">
        <v>87</v>
      </c>
      <c r="B91" s="146"/>
      <c r="C91" s="146"/>
      <c r="D91" s="160"/>
      <c r="E91" s="165"/>
      <c r="F91" s="148"/>
      <c r="G91" s="149">
        <f>IF(F91="-",0,IFERROR(IFERROR(VLOOKUP(F91,Атлет!$B$5:$I$104,8,FALSE),(IF(F91&lt;1,0,IF(INT(F91)&gt;=25,100,"Введите целое число")))),"Введите целое число или '-'"))</f>
        <v>0</v>
      </c>
      <c r="H91" s="150"/>
      <c r="I91" s="151">
        <f t="array" ref="I91">IF(H91=0,0,IF(MIN(IF(Атлет!$C$5:$C$104&gt;=H91,Атлет!$C$5:$C$104))=0,0,VLOOKUP(MIN(IF(Атлет!$C$5:$C$104&gt;=H91,Атлет!$C$5:$C$104)),Атлет!$C$5:$I$104,7)))</f>
        <v>0</v>
      </c>
      <c r="J91" s="152"/>
      <c r="K91" s="153">
        <f>IF(J91="-",0,IFERROR(IFERROR(VLOOKUP(J91,Атлет!$D$5:$I$104,6,FALSE),(IF(J91&lt;1,0,IF(INT(J91)&gt;=40,100,"Введите целое число")))),"Введите целое число или '-'"))</f>
        <v>0</v>
      </c>
      <c r="L91" s="163"/>
      <c r="M91" s="151">
        <f>IF(L91="-",0,IFERROR(IFERROR(VLOOKUP(L91,Атлет!$E$5:$I$104,5,FALSE),(IF(L91&lt;1,0,IF(INT(L91)&gt;=30,100,"Введите целое число")))),"Введите целое число или '-'"))</f>
        <v>0</v>
      </c>
      <c r="N91" s="148"/>
      <c r="O91" s="153">
        <f>IF(N91="-",0,IFERROR(IFERROR(VLOOKUP(N91,Атлет!$F$5:$I$104,4,FALSE),(IF(N91&lt;1,0,IF(INT(N91)&gt;=90,100,"Введите целое число")))),"Введите целое число или '-'"))</f>
        <v>0</v>
      </c>
      <c r="P91" s="154"/>
      <c r="Q91" s="151">
        <f>IF(P91="-",0,IFERROR(IFERROR(VLOOKUP(P91,Атлет!$G$5:$I$104,3,FALSE),(IF(P91&lt;1,0,IF(INT(P91)&gt;=100,100,"Введите целое число")))),"Введите целое число или '-'"))</f>
        <v>0</v>
      </c>
      <c r="R91" s="156"/>
      <c r="S91" s="149">
        <f t="array" ref="S91">IF(R91=0,0,IF(MIN(IF(Атлет!$H$5:$H$104&gt;=R91,Атлет!$H$5:$H$104))=0,0,VLOOKUP(MIN(IF(Атлет!$H$5:$H$104&gt;=R91,Атлет!$H$5:$H$104)),Атлет!$H$5:$I$104,2)))</f>
        <v>0</v>
      </c>
      <c r="T91" s="157">
        <f>S91+Q91+O91+M91+K91+I91+G91</f>
        <v>0</v>
      </c>
      <c r="U91" s="144" t="str">
        <f>IF(T91&lt;=0, "", RANK(T91,$T$5:$T$104,0))</f>
        <v/>
      </c>
    </row>
    <row r="92" spans="1:21" ht="19.5" customHeight="1" x14ac:dyDescent="0.2">
      <c r="A92" s="132">
        <v>88</v>
      </c>
      <c r="B92" s="146"/>
      <c r="C92" s="146"/>
      <c r="D92" s="158"/>
      <c r="E92" s="164"/>
      <c r="F92" s="148"/>
      <c r="G92" s="149">
        <f>IF(F92="-",0,IFERROR(IFERROR(VLOOKUP(F92,Атлет!$B$5:$I$104,8,FALSE),(IF(F92&lt;1,0,IF(INT(F92)&gt;=25,100,"Введите целое число")))),"Введите целое число или '-'"))</f>
        <v>0</v>
      </c>
      <c r="H92" s="150"/>
      <c r="I92" s="151">
        <f t="array" ref="I92">IF(H92=0,0,IF(MIN(IF(Атлет!$C$5:$C$104&gt;=H92,Атлет!$C$5:$C$104))=0,0,VLOOKUP(MIN(IF(Атлет!$C$5:$C$104&gt;=H92,Атлет!$C$5:$C$104)),Атлет!$C$5:$I$104,7)))</f>
        <v>0</v>
      </c>
      <c r="J92" s="152"/>
      <c r="K92" s="153">
        <f>IF(J92="-",0,IFERROR(IFERROR(VLOOKUP(J92,Атлет!$D$5:$I$104,6,FALSE),(IF(J92&lt;1,0,IF(INT(J92)&gt;=40,100,"Введите целое число")))),"Введите целое число или '-'"))</f>
        <v>0</v>
      </c>
      <c r="L92" s="163"/>
      <c r="M92" s="151">
        <f>IF(L92="-",0,IFERROR(IFERROR(VLOOKUP(L92,Атлет!$E$5:$I$104,5,FALSE),(IF(L92&lt;1,0,IF(INT(L92)&gt;=30,100,"Введите целое число")))),"Введите целое число или '-'"))</f>
        <v>0</v>
      </c>
      <c r="N92" s="155"/>
      <c r="O92" s="153">
        <f>IF(N92="-",0,IFERROR(IFERROR(VLOOKUP(N92,Атлет!$F$5:$I$104,4,FALSE),(IF(N92&lt;1,0,IF(INT(N92)&gt;=90,100,"Введите целое число")))),"Введите целое число или '-'"))</f>
        <v>0</v>
      </c>
      <c r="P92" s="154"/>
      <c r="Q92" s="151">
        <f>IF(P92="-",0,IFERROR(IFERROR(VLOOKUP(P92,Атлет!$G$5:$I$104,3,FALSE),(IF(P92&lt;1,0,IF(INT(P92)&gt;=100,100,"Введите целое число")))),"Введите целое число или '-'"))</f>
        <v>0</v>
      </c>
      <c r="R92" s="156"/>
      <c r="S92" s="149">
        <f t="array" ref="S92">IF(R92=0,0,IF(MIN(IF(Атлет!$H$5:$H$104&gt;=R92,Атлет!$H$5:$H$104))=0,0,VLOOKUP(MIN(IF(Атлет!$H$5:$H$104&gt;=R92,Атлет!$H$5:$H$104)),Атлет!$H$5:$I$104,2)))</f>
        <v>0</v>
      </c>
      <c r="T92" s="157">
        <f>S92+Q92+O92+M92+K92+I92+G92</f>
        <v>0</v>
      </c>
      <c r="U92" s="144" t="str">
        <f>IF(T92&lt;=0, "", RANK(T92,$T$5:$T$104,0))</f>
        <v/>
      </c>
    </row>
    <row r="93" spans="1:21" ht="19.5" customHeight="1" x14ac:dyDescent="0.2">
      <c r="A93" s="145">
        <v>89</v>
      </c>
      <c r="B93" s="146"/>
      <c r="C93" s="146"/>
      <c r="D93" s="147"/>
      <c r="E93" s="165"/>
      <c r="F93" s="148"/>
      <c r="G93" s="149">
        <f>IF(F93="-",0,IFERROR(IFERROR(VLOOKUP(F93,Атлет!$B$5:$I$104,8,FALSE),(IF(F93&lt;1,0,IF(INT(F93)&gt;=25,100,"Введите целое число")))),"Введите целое число или '-'"))</f>
        <v>0</v>
      </c>
      <c r="H93" s="150"/>
      <c r="I93" s="151">
        <f t="array" ref="I93">IF(H93=0,0,IF(MIN(IF(Атлет!$C$5:$C$104&gt;=H93,Атлет!$C$5:$C$104))=0,0,VLOOKUP(MIN(IF(Атлет!$C$5:$C$104&gt;=H93,Атлет!$C$5:$C$104)),Атлет!$C$5:$I$104,7)))</f>
        <v>0</v>
      </c>
      <c r="J93" s="152"/>
      <c r="K93" s="153">
        <f>IF(J93="-",0,IFERROR(IFERROR(VLOOKUP(J93,Атлет!$D$5:$I$104,6,FALSE),(IF(J93&lt;1,0,IF(INT(J93)&gt;=40,100,"Введите целое число")))),"Введите целое число или '-'"))</f>
        <v>0</v>
      </c>
      <c r="L93" s="154"/>
      <c r="M93" s="151">
        <f>IF(L93="-",0,IFERROR(IFERROR(VLOOKUP(L93,Атлет!$E$5:$I$104,5,FALSE),(IF(L93&lt;1,0,IF(INT(L93)&gt;=30,100,"Введите целое число")))),"Введите целое число или '-'"))</f>
        <v>0</v>
      </c>
      <c r="N93" s="155"/>
      <c r="O93" s="153">
        <f>IF(N93="-",0,IFERROR(IFERROR(VLOOKUP(N93,Атлет!$F$5:$I$104,4,FALSE),(IF(N93&lt;1,0,IF(INT(N93)&gt;=90,100,"Введите целое число")))),"Введите целое число или '-'"))</f>
        <v>0</v>
      </c>
      <c r="P93" s="154"/>
      <c r="Q93" s="151">
        <f>IF(P93="-",0,IFERROR(IFERROR(VLOOKUP(P93,Атлет!$G$5:$I$104,3,FALSE),(IF(P93&lt;1,0,IF(INT(P93)&gt;=100,100,"Введите целое число")))),"Введите целое число или '-'"))</f>
        <v>0</v>
      </c>
      <c r="R93" s="156"/>
      <c r="S93" s="149">
        <f t="array" ref="S93">IF(R93=0,0,IF(MIN(IF(Атлет!$H$5:$H$104&gt;=R93,Атлет!$H$5:$H$104))=0,0,VLOOKUP(MIN(IF(Атлет!$H$5:$H$104&gt;=R93,Атлет!$H$5:$H$104)),Атлет!$H$5:$I$104,2)))</f>
        <v>0</v>
      </c>
      <c r="T93" s="157">
        <f>S93+Q93+O93+M93+K93+I93+G93</f>
        <v>0</v>
      </c>
      <c r="U93" s="144" t="str">
        <f>IF(T93&lt;=0, "", RANK(T93,$T$5:$T$104,0))</f>
        <v/>
      </c>
    </row>
    <row r="94" spans="1:21" ht="19.5" customHeight="1" x14ac:dyDescent="0.2">
      <c r="A94" s="145">
        <v>90</v>
      </c>
      <c r="B94" s="146"/>
      <c r="C94" s="146"/>
      <c r="D94" s="147"/>
      <c r="E94" s="165"/>
      <c r="F94" s="148"/>
      <c r="G94" s="149">
        <f>IF(F94="-",0,IFERROR(IFERROR(VLOOKUP(F94,Атлет!$B$5:$I$104,8,FALSE),(IF(F94&lt;1,0,IF(INT(F94)&gt;=25,100,"Введите целое число")))),"Введите целое число или '-'"))</f>
        <v>0</v>
      </c>
      <c r="H94" s="150"/>
      <c r="I94" s="151">
        <f t="array" ref="I94">IF(H94=0,0,IF(MIN(IF(Атлет!$C$5:$C$104&gt;=H94,Атлет!$C$5:$C$104))=0,0,VLOOKUP(MIN(IF(Атлет!$C$5:$C$104&gt;=H94,Атлет!$C$5:$C$104)),Атлет!$C$5:$I$104,7)))</f>
        <v>0</v>
      </c>
      <c r="J94" s="152"/>
      <c r="K94" s="153">
        <f>IF(J94="-",0,IFERROR(IFERROR(VLOOKUP(J94,Атлет!$D$5:$I$104,6,FALSE),(IF(J94&lt;1,0,IF(INT(J94)&gt;=40,100,"Введите целое число")))),"Введите целое число или '-'"))</f>
        <v>0</v>
      </c>
      <c r="L94" s="163"/>
      <c r="M94" s="151">
        <f>IF(L94="-",0,IFERROR(IFERROR(VLOOKUP(L94,Атлет!$E$5:$I$104,5,FALSE),(IF(L94&lt;1,0,IF(INT(L94)&gt;=30,100,"Введите целое число")))),"Введите целое число или '-'"))</f>
        <v>0</v>
      </c>
      <c r="N94" s="148"/>
      <c r="O94" s="153">
        <f>IF(N94="-",0,IFERROR(IFERROR(VLOOKUP(N94,Атлет!$F$5:$I$104,4,FALSE),(IF(N94&lt;1,0,IF(INT(N94)&gt;=90,100,"Введите целое число")))),"Введите целое число или '-'"))</f>
        <v>0</v>
      </c>
      <c r="P94" s="154"/>
      <c r="Q94" s="151">
        <f>IF(P94="-",0,IFERROR(IFERROR(VLOOKUP(P94,Атлет!$G$5:$I$104,3,FALSE),(IF(P94&lt;1,0,IF(INT(P94)&gt;=100,100,"Введите целое число")))),"Введите целое число или '-'"))</f>
        <v>0</v>
      </c>
      <c r="R94" s="156"/>
      <c r="S94" s="149">
        <f t="array" ref="S94">IF(R94=0,0,IF(MIN(IF(Атлет!$H$5:$H$104&gt;=R94,Атлет!$H$5:$H$104))=0,0,VLOOKUP(MIN(IF(Атлет!$H$5:$H$104&gt;=R94,Атлет!$H$5:$H$104)),Атлет!$H$5:$I$104,2)))</f>
        <v>0</v>
      </c>
      <c r="T94" s="157">
        <f>S94+Q94+O94+M94+K94+I94+G94</f>
        <v>0</v>
      </c>
      <c r="U94" s="144" t="str">
        <f>IF(T94&lt;=0, "", RANK(T94,$T$5:$T$104,0))</f>
        <v/>
      </c>
    </row>
    <row r="95" spans="1:21" ht="19.5" customHeight="1" x14ac:dyDescent="0.2">
      <c r="A95" s="132">
        <v>91</v>
      </c>
      <c r="B95" s="146"/>
      <c r="C95" s="146"/>
      <c r="D95" s="147"/>
      <c r="E95" s="165"/>
      <c r="F95" s="148"/>
      <c r="G95" s="149">
        <f>IF(F95="-",0,IFERROR(IFERROR(VLOOKUP(F95,Атлет!$B$5:$I$104,8,FALSE),(IF(F95&lt;1,0,IF(INT(F95)&gt;=25,100,"Введите целое число")))),"Введите целое число или '-'"))</f>
        <v>0</v>
      </c>
      <c r="H95" s="150"/>
      <c r="I95" s="151">
        <f t="array" ref="I95">IF(H95=0,0,IF(MIN(IF(Атлет!$C$5:$C$104&gt;=H95,Атлет!$C$5:$C$104))=0,0,VLOOKUP(MIN(IF(Атлет!$C$5:$C$104&gt;=H95,Атлет!$C$5:$C$104)),Атлет!$C$5:$I$104,7)))</f>
        <v>0</v>
      </c>
      <c r="J95" s="152"/>
      <c r="K95" s="153">
        <f>IF(J95="-",0,IFERROR(IFERROR(VLOOKUP(J95,Атлет!$D$5:$I$104,6,FALSE),(IF(J95&lt;1,0,IF(INT(J95)&gt;=40,100,"Введите целое число")))),"Введите целое число или '-'"))</f>
        <v>0</v>
      </c>
      <c r="L95" s="163"/>
      <c r="M95" s="151">
        <f>IF(L95="-",0,IFERROR(IFERROR(VLOOKUP(L95,Атлет!$E$5:$I$104,5,FALSE),(IF(L95&lt;1,0,IF(INT(L95)&gt;=30,100,"Введите целое число")))),"Введите целое число или '-'"))</f>
        <v>0</v>
      </c>
      <c r="N95" s="155"/>
      <c r="O95" s="153">
        <f>IF(N95="-",0,IFERROR(IFERROR(VLOOKUP(N95,Атлет!$F$5:$I$104,4,FALSE),(IF(N95&lt;1,0,IF(INT(N95)&gt;=90,100,"Введите целое число")))),"Введите целое число или '-'"))</f>
        <v>0</v>
      </c>
      <c r="P95" s="154"/>
      <c r="Q95" s="151">
        <f>IF(P95="-",0,IFERROR(IFERROR(VLOOKUP(P95,Атлет!$G$5:$I$104,3,FALSE),(IF(P95&lt;1,0,IF(INT(P95)&gt;=100,100,"Введите целое число")))),"Введите целое число или '-'"))</f>
        <v>0</v>
      </c>
      <c r="R95" s="156"/>
      <c r="S95" s="149">
        <f t="array" ref="S95">IF(R95=0,0,IF(MIN(IF(Атлет!$H$5:$H$104&gt;=R95,Атлет!$H$5:$H$104))=0,0,VLOOKUP(MIN(IF(Атлет!$H$5:$H$104&gt;=R95,Атлет!$H$5:$H$104)),Атлет!$H$5:$I$104,2)))</f>
        <v>0</v>
      </c>
      <c r="T95" s="157">
        <f>S95+Q95+O95+M95+K95+I95+G95</f>
        <v>0</v>
      </c>
      <c r="U95" s="144" t="str">
        <f>IF(T95&lt;=0, "", RANK(T95,$T$5:$T$104,0))</f>
        <v/>
      </c>
    </row>
    <row r="96" spans="1:21" ht="19.5" customHeight="1" x14ac:dyDescent="0.2">
      <c r="A96" s="145">
        <v>92</v>
      </c>
      <c r="B96" s="146"/>
      <c r="C96" s="146"/>
      <c r="D96" s="169"/>
      <c r="E96" s="164"/>
      <c r="F96" s="148"/>
      <c r="G96" s="149">
        <f>IF(F96="-",0,IFERROR(IFERROR(VLOOKUP(F96,Атлет!$B$5:$I$104,8,FALSE),(IF(F96&lt;1,0,IF(INT(F96)&gt;=25,100,"Введите целое число")))),"Введите целое число или '-'"))</f>
        <v>0</v>
      </c>
      <c r="H96" s="150"/>
      <c r="I96" s="151">
        <f t="array" ref="I96">IF(H96=0,0,IF(MIN(IF(Атлет!$C$5:$C$104&gt;=H96,Атлет!$C$5:$C$104))=0,0,VLOOKUP(MIN(IF(Атлет!$C$5:$C$104&gt;=H96,Атлет!$C$5:$C$104)),Атлет!$C$5:$I$104,7)))</f>
        <v>0</v>
      </c>
      <c r="J96" s="152"/>
      <c r="K96" s="153">
        <f>IF(J96="-",0,IFERROR(IFERROR(VLOOKUP(J96,Атлет!$D$5:$I$104,6,FALSE),(IF(J96&lt;1,0,IF(INT(J96)&gt;=40,100,"Введите целое число")))),"Введите целое число или '-'"))</f>
        <v>0</v>
      </c>
      <c r="L96" s="154"/>
      <c r="M96" s="151">
        <f>IF(L96="-",0,IFERROR(IFERROR(VLOOKUP(L96,Атлет!$E$5:$I$104,5,FALSE),(IF(L96&lt;1,0,IF(INT(L96)&gt;=30,100,"Введите целое число")))),"Введите целое число или '-'"))</f>
        <v>0</v>
      </c>
      <c r="N96" s="155"/>
      <c r="O96" s="153">
        <f>IF(N96="-",0,IFERROR(IFERROR(VLOOKUP(N96,Атлет!$F$5:$I$104,4,FALSE),(IF(N96&lt;1,0,IF(INT(N96)&gt;=90,100,"Введите целое число")))),"Введите целое число или '-'"))</f>
        <v>0</v>
      </c>
      <c r="P96" s="154"/>
      <c r="Q96" s="151">
        <f>IF(P96="-",0,IFERROR(IFERROR(VLOOKUP(P96,Атлет!$G$5:$I$104,3,FALSE),(IF(P96&lt;1,0,IF(INT(P96)&gt;=100,100,"Введите целое число")))),"Введите целое число или '-'"))</f>
        <v>0</v>
      </c>
      <c r="R96" s="156"/>
      <c r="S96" s="149">
        <f t="array" ref="S96">IF(R96=0,0,IF(MIN(IF(Атлет!$H$5:$H$104&gt;=R96,Атлет!$H$5:$H$104))=0,0,VLOOKUP(MIN(IF(Атлет!$H$5:$H$104&gt;=R96,Атлет!$H$5:$H$104)),Атлет!$H$5:$I$104,2)))</f>
        <v>0</v>
      </c>
      <c r="T96" s="157">
        <f>S96+Q96+O96+M96+K96+I96+G96</f>
        <v>0</v>
      </c>
      <c r="U96" s="144" t="str">
        <f>IF(T96&lt;=0, "", RANK(T96,$T$5:$T$104,0))</f>
        <v/>
      </c>
    </row>
    <row r="97" spans="1:21" ht="19.5" customHeight="1" x14ac:dyDescent="0.2">
      <c r="A97" s="145">
        <v>93</v>
      </c>
      <c r="B97" s="146"/>
      <c r="C97" s="146"/>
      <c r="D97" s="147"/>
      <c r="E97" s="165"/>
      <c r="F97" s="148"/>
      <c r="G97" s="149">
        <f>IF(F97="-",0,IFERROR(IFERROR(VLOOKUP(F97,Атлет!$B$5:$I$104,8,FALSE),(IF(F97&lt;1,0,IF(INT(F97)&gt;=25,100,"Введите целое число")))),"Введите целое число или '-'"))</f>
        <v>0</v>
      </c>
      <c r="H97" s="150"/>
      <c r="I97" s="151">
        <f t="array" ref="I97">IF(H97=0,0,IF(MIN(IF(Атлет!$C$5:$C$104&gt;=H97,Атлет!$C$5:$C$104))=0,0,VLOOKUP(MIN(IF(Атлет!$C$5:$C$104&gt;=H97,Атлет!$C$5:$C$104)),Атлет!$C$5:$I$104,7)))</f>
        <v>0</v>
      </c>
      <c r="J97" s="152"/>
      <c r="K97" s="153">
        <f>IF(J97="-",0,IFERROR(IFERROR(VLOOKUP(J97,Атлет!$D$5:$I$104,6,FALSE),(IF(J97&lt;1,0,IF(INT(J97)&gt;=40,100,"Введите целое число")))),"Введите целое число или '-'"))</f>
        <v>0</v>
      </c>
      <c r="L97" s="163"/>
      <c r="M97" s="151">
        <f>IF(L97="-",0,IFERROR(IFERROR(VLOOKUP(L97,Атлет!$E$5:$I$104,5,FALSE),(IF(L97&lt;1,0,IF(INT(L97)&gt;=30,100,"Введите целое число")))),"Введите целое число или '-'"))</f>
        <v>0</v>
      </c>
      <c r="N97" s="148"/>
      <c r="O97" s="153">
        <f>IF(N97="-",0,IFERROR(IFERROR(VLOOKUP(N97,Атлет!$F$5:$I$104,4,FALSE),(IF(N97&lt;1,0,IF(INT(N97)&gt;=90,100,"Введите целое число")))),"Введите целое число или '-'"))</f>
        <v>0</v>
      </c>
      <c r="P97" s="154"/>
      <c r="Q97" s="151">
        <f>IF(P97="-",0,IFERROR(IFERROR(VLOOKUP(P97,Атлет!$G$5:$I$104,3,FALSE),(IF(P97&lt;1,0,IF(INT(P97)&gt;=100,100,"Введите целое число")))),"Введите целое число или '-'"))</f>
        <v>0</v>
      </c>
      <c r="R97" s="156"/>
      <c r="S97" s="149">
        <f t="array" ref="S97">IF(R97=0,0,IF(MIN(IF(Атлет!$H$5:$H$104&gt;=R97,Атлет!$H$5:$H$104))=0,0,VLOOKUP(MIN(IF(Атлет!$H$5:$H$104&gt;=R97,Атлет!$H$5:$H$104)),Атлет!$H$5:$I$104,2)))</f>
        <v>0</v>
      </c>
      <c r="T97" s="157">
        <f>S97+Q97+O97+M97+K97+I97+G97</f>
        <v>0</v>
      </c>
      <c r="U97" s="144" t="str">
        <f>IF(T97&lt;=0, "", RANK(T97,$T$5:$T$104,0))</f>
        <v/>
      </c>
    </row>
    <row r="98" spans="1:21" ht="19.5" customHeight="1" x14ac:dyDescent="0.2">
      <c r="A98" s="132">
        <v>94</v>
      </c>
      <c r="B98" s="146"/>
      <c r="C98" s="146"/>
      <c r="D98" s="147"/>
      <c r="E98" s="165"/>
      <c r="F98" s="148"/>
      <c r="G98" s="149">
        <f>IF(F98="-",0,IFERROR(IFERROR(VLOOKUP(F98,Атлет!$B$5:$I$104,8,FALSE),(IF(F98&lt;1,0,IF(INT(F98)&gt;=25,100,"Введите целое число")))),"Введите целое число или '-'"))</f>
        <v>0</v>
      </c>
      <c r="H98" s="150"/>
      <c r="I98" s="151">
        <f t="array" ref="I98">IF(H98=0,0,IF(MIN(IF(Атлет!$C$5:$C$104&gt;=H98,Атлет!$C$5:$C$104))=0,0,VLOOKUP(MIN(IF(Атлет!$C$5:$C$104&gt;=H98,Атлет!$C$5:$C$104)),Атлет!$C$5:$I$104,7)))</f>
        <v>0</v>
      </c>
      <c r="J98" s="152"/>
      <c r="K98" s="153">
        <f>IF(J98="-",0,IFERROR(IFERROR(VLOOKUP(J98,Атлет!$D$5:$I$104,6,FALSE),(IF(J98&lt;1,0,IF(INT(J98)&gt;=40,100,"Введите целое число")))),"Введите целое число или '-'"))</f>
        <v>0</v>
      </c>
      <c r="L98" s="163"/>
      <c r="M98" s="151">
        <f>IF(L98="-",0,IFERROR(IFERROR(VLOOKUP(L98,Атлет!$E$5:$I$104,5,FALSE),(IF(L98&lt;1,0,IF(INT(L98)&gt;=30,100,"Введите целое число")))),"Введите целое число или '-'"))</f>
        <v>0</v>
      </c>
      <c r="N98" s="155"/>
      <c r="O98" s="153">
        <f>IF(N98="-",0,IFERROR(IFERROR(VLOOKUP(N98,Атлет!$F$5:$I$104,4,FALSE),(IF(N98&lt;1,0,IF(INT(N98)&gt;=90,100,"Введите целое число")))),"Введите целое число или '-'"))</f>
        <v>0</v>
      </c>
      <c r="P98" s="154"/>
      <c r="Q98" s="151">
        <f>IF(P98="-",0,IFERROR(IFERROR(VLOOKUP(P98,Атлет!$G$5:$I$104,3,FALSE),(IF(P98&lt;1,0,IF(INT(P98)&gt;=100,100,"Введите целое число")))),"Введите целое число или '-'"))</f>
        <v>0</v>
      </c>
      <c r="R98" s="156"/>
      <c r="S98" s="149">
        <f t="array" ref="S98">IF(R98=0,0,IF(MIN(IF(Атлет!$H$5:$H$104&gt;=R98,Атлет!$H$5:$H$104))=0,0,VLOOKUP(MIN(IF(Атлет!$H$5:$H$104&gt;=R98,Атлет!$H$5:$H$104)),Атлет!$H$5:$I$104,2)))</f>
        <v>0</v>
      </c>
      <c r="T98" s="157">
        <f>S98+Q98+O98+M98+K98+I98+G98</f>
        <v>0</v>
      </c>
      <c r="U98" s="144" t="str">
        <f>IF(T98&lt;=0, "", RANK(T98,$T$5:$T$104,0))</f>
        <v/>
      </c>
    </row>
    <row r="99" spans="1:21" ht="19.5" customHeight="1" x14ac:dyDescent="0.2">
      <c r="A99" s="145">
        <v>95</v>
      </c>
      <c r="B99" s="146"/>
      <c r="C99" s="146"/>
      <c r="D99" s="158"/>
      <c r="E99" s="165"/>
      <c r="F99" s="148"/>
      <c r="G99" s="149">
        <f>IF(F99="-",0,IFERROR(IFERROR(VLOOKUP(F99,Атлет!$B$5:$I$104,8,FALSE),(IF(F99&lt;1,0,IF(INT(F99)&gt;=25,100,"Введите целое число")))),"Введите целое число или '-'"))</f>
        <v>0</v>
      </c>
      <c r="H99" s="150"/>
      <c r="I99" s="151">
        <f t="array" ref="I99">IF(H99=0,0,IF(MIN(IF(Атлет!$C$5:$C$104&gt;=H99,Атлет!$C$5:$C$104))=0,0,VLOOKUP(MIN(IF(Атлет!$C$5:$C$104&gt;=H99,Атлет!$C$5:$C$104)),Атлет!$C$5:$I$104,7)))</f>
        <v>0</v>
      </c>
      <c r="J99" s="152"/>
      <c r="K99" s="153">
        <f>IF(J99="-",0,IFERROR(IFERROR(VLOOKUP(J99,Атлет!$D$5:$I$104,6,FALSE),(IF(J99&lt;1,0,IF(INT(J99)&gt;=40,100,"Введите целое число")))),"Введите целое число или '-'"))</f>
        <v>0</v>
      </c>
      <c r="L99" s="154"/>
      <c r="M99" s="151">
        <f>IF(L99="-",0,IFERROR(IFERROR(VLOOKUP(L99,Атлет!$E$5:$I$104,5,FALSE),(IF(L99&lt;1,0,IF(INT(L99)&gt;=30,100,"Введите целое число")))),"Введите целое число или '-'"))</f>
        <v>0</v>
      </c>
      <c r="N99" s="155"/>
      <c r="O99" s="153">
        <f>IF(N99="-",0,IFERROR(IFERROR(VLOOKUP(N99,Атлет!$F$5:$I$104,4,FALSE),(IF(N99&lt;1,0,IF(INT(N99)&gt;=90,100,"Введите целое число")))),"Введите целое число или '-'"))</f>
        <v>0</v>
      </c>
      <c r="P99" s="154"/>
      <c r="Q99" s="151">
        <f>IF(P99="-",0,IFERROR(IFERROR(VLOOKUP(P99,Атлет!$G$5:$I$104,3,FALSE),(IF(P99&lt;1,0,IF(INT(P99)&gt;=100,100,"Введите целое число")))),"Введите целое число или '-'"))</f>
        <v>0</v>
      </c>
      <c r="R99" s="156"/>
      <c r="S99" s="149">
        <f t="array" ref="S99">IF(R99=0,0,IF(MIN(IF(Атлет!$H$5:$H$104&gt;=R99,Атлет!$H$5:$H$104))=0,0,VLOOKUP(MIN(IF(Атлет!$H$5:$H$104&gt;=R99,Атлет!$H$5:$H$104)),Атлет!$H$5:$I$104,2)))</f>
        <v>0</v>
      </c>
      <c r="T99" s="157">
        <f>S99+Q99+O99+M99+K99+I99+G99</f>
        <v>0</v>
      </c>
      <c r="U99" s="144" t="str">
        <f>IF(T99&lt;=0, "", RANK(T99,$T$5:$T$104,0))</f>
        <v/>
      </c>
    </row>
    <row r="100" spans="1:21" ht="19.5" customHeight="1" x14ac:dyDescent="0.3">
      <c r="A100" s="145">
        <v>96</v>
      </c>
      <c r="B100" s="146"/>
      <c r="C100" s="146"/>
      <c r="D100" s="160"/>
      <c r="E100" s="165"/>
      <c r="F100" s="148"/>
      <c r="G100" s="149">
        <f>IF(F100="-",0,IFERROR(IFERROR(VLOOKUP(F100,Атлет!$B$5:$I$104,8,FALSE),(IF(F100&lt;1,0,IF(INT(F100)&gt;=25,100,"Введите целое число")))),"Введите целое число или '-'"))</f>
        <v>0</v>
      </c>
      <c r="H100" s="150"/>
      <c r="I100" s="151">
        <f t="array" ref="I100">IF(H100=0,0,IF(MIN(IF(Атлет!$C$5:$C$104&gt;=H100,Атлет!$C$5:$C$104))=0,0,VLOOKUP(MIN(IF(Атлет!$C$5:$C$104&gt;=H100,Атлет!$C$5:$C$104)),Атлет!$C$5:$I$104,7)))</f>
        <v>0</v>
      </c>
      <c r="J100" s="152"/>
      <c r="K100" s="153">
        <f>IF(J100="-",0,IFERROR(IFERROR(VLOOKUP(J100,Атлет!$D$5:$I$104,6,FALSE),(IF(J100&lt;1,0,IF(INT(J100)&gt;=40,100,"Введите целое число")))),"Введите целое число или '-'"))</f>
        <v>0</v>
      </c>
      <c r="L100" s="163"/>
      <c r="M100" s="151">
        <f>IF(L100="-",0,IFERROR(IFERROR(VLOOKUP(L100,Атлет!$E$5:$I$104,5,FALSE),(IF(L100&lt;1,0,IF(INT(L100)&gt;=30,100,"Введите целое число")))),"Введите целое число или '-'"))</f>
        <v>0</v>
      </c>
      <c r="N100" s="155"/>
      <c r="O100" s="153">
        <f>IF(N100="-",0,IFERROR(IFERROR(VLOOKUP(N100,Атлет!$F$5:$I$104,4,FALSE),(IF(N100&lt;1,0,IF(INT(N100)&gt;=90,100,"Введите целое число")))),"Введите целое число или '-'"))</f>
        <v>0</v>
      </c>
      <c r="P100" s="154"/>
      <c r="Q100" s="151">
        <f>IF(P100="-",0,IFERROR(IFERROR(VLOOKUP(P100,Атлет!$G$5:$I$104,3,FALSE),(IF(P100&lt;1,0,IF(INT(P100)&gt;=100,100,"Введите целое число")))),"Введите целое число или '-'"))</f>
        <v>0</v>
      </c>
      <c r="R100" s="156"/>
      <c r="S100" s="149">
        <f t="array" ref="S100">IF(R100=0,0,IF(MIN(IF(Атлет!$H$5:$H$104&gt;=R100,Атлет!$H$5:$H$104))=0,0,VLOOKUP(MIN(IF(Атлет!$H$5:$H$104&gt;=R100,Атлет!$H$5:$H$104)),Атлет!$H$5:$I$104,2)))</f>
        <v>0</v>
      </c>
      <c r="T100" s="157">
        <f>S100+Q100+O100+M100+K100+I100+G100</f>
        <v>0</v>
      </c>
      <c r="U100" s="144" t="str">
        <f>IF(T100&lt;=0, "", RANK(T100,$T$5:$T$104,0))</f>
        <v/>
      </c>
    </row>
    <row r="101" spans="1:21" ht="19.5" customHeight="1" x14ac:dyDescent="0.2">
      <c r="A101" s="132">
        <v>97</v>
      </c>
      <c r="B101" s="146"/>
      <c r="C101" s="146"/>
      <c r="D101" s="158"/>
      <c r="E101" s="165"/>
      <c r="F101" s="148"/>
      <c r="G101" s="149">
        <f>IF(F101="-",0,IFERROR(IFERROR(VLOOKUP(F101,Атлет!$B$5:$I$104,8,FALSE),(IF(F101&lt;1,0,IF(INT(F101)&gt;=25,100,"Введите целое число")))),"Введите целое число или '-'"))</f>
        <v>0</v>
      </c>
      <c r="H101" s="150"/>
      <c r="I101" s="151">
        <f t="array" ref="I101">IF(H101=0,0,IF(MIN(IF(Атлет!$C$5:$C$104&gt;=H101,Атлет!$C$5:$C$104))=0,0,VLOOKUP(MIN(IF(Атлет!$C$5:$C$104&gt;=H101,Атлет!$C$5:$C$104)),Атлет!$C$5:$I$104,7)))</f>
        <v>0</v>
      </c>
      <c r="J101" s="152"/>
      <c r="K101" s="153">
        <f>IF(J101="-",0,IFERROR(IFERROR(VLOOKUP(J101,Атлет!$D$5:$I$104,6,FALSE),(IF(J101&lt;1,0,IF(INT(J101)&gt;=40,100,"Введите целое число")))),"Введите целое число или '-'"))</f>
        <v>0</v>
      </c>
      <c r="L101" s="163"/>
      <c r="M101" s="151">
        <f>IF(L101="-",0,IFERROR(IFERROR(VLOOKUP(L101,Атлет!$E$5:$I$104,5,FALSE),(IF(L101&lt;1,0,IF(INT(L101)&gt;=30,100,"Введите целое число")))),"Введите целое число или '-'"))</f>
        <v>0</v>
      </c>
      <c r="N101" s="155"/>
      <c r="O101" s="153">
        <f>IF(N101="-",0,IFERROR(IFERROR(VLOOKUP(N101,Атлет!$F$5:$I$104,4,FALSE),(IF(N101&lt;1,0,IF(INT(N101)&gt;=90,100,"Введите целое число")))),"Введите целое число или '-'"))</f>
        <v>0</v>
      </c>
      <c r="P101" s="154"/>
      <c r="Q101" s="151">
        <f>IF(P101="-",0,IFERROR(IFERROR(VLOOKUP(P101,Атлет!$G$5:$I$104,3,FALSE),(IF(P101&lt;1,0,IF(INT(P101)&gt;=100,100,"Введите целое число")))),"Введите целое число или '-'"))</f>
        <v>0</v>
      </c>
      <c r="R101" s="156"/>
      <c r="S101" s="149">
        <f t="array" ref="S101">IF(R101=0,0,IF(MIN(IF(Атлет!$H$5:$H$104&gt;=R101,Атлет!$H$5:$H$104))=0,0,VLOOKUP(MIN(IF(Атлет!$H$5:$H$104&gt;=R101,Атлет!$H$5:$H$104)),Атлет!$H$5:$I$104,2)))</f>
        <v>0</v>
      </c>
      <c r="T101" s="157">
        <f>S101+Q101+O101+M101+K101+I101+G101</f>
        <v>0</v>
      </c>
      <c r="U101" s="144" t="str">
        <f>IF(T101&lt;=0, "", RANK(T101,$T$5:$T$104,0))</f>
        <v/>
      </c>
    </row>
    <row r="102" spans="1:21" ht="19.5" customHeight="1" x14ac:dyDescent="0.2">
      <c r="A102" s="145">
        <v>98</v>
      </c>
      <c r="B102" s="146"/>
      <c r="C102" s="146"/>
      <c r="D102" s="158"/>
      <c r="E102" s="165"/>
      <c r="F102" s="148"/>
      <c r="G102" s="149">
        <f>IF(F102="-",0,IFERROR(IFERROR(VLOOKUP(F102,Атлет!$B$5:$I$104,8,FALSE),(IF(F102&lt;1,0,IF(INT(F102)&gt;=25,100,"Введите целое число")))),"Введите целое число или '-'"))</f>
        <v>0</v>
      </c>
      <c r="H102" s="150"/>
      <c r="I102" s="151">
        <f t="array" ref="I102">IF(H102=0,0,IF(MIN(IF(Атлет!$C$5:$C$104&gt;=H102,Атлет!$C$5:$C$104))=0,0,VLOOKUP(MIN(IF(Атлет!$C$5:$C$104&gt;=H102,Атлет!$C$5:$C$104)),Атлет!$C$5:$I$104,7)))</f>
        <v>0</v>
      </c>
      <c r="J102" s="152"/>
      <c r="K102" s="153">
        <f>IF(J102="-",0,IFERROR(IFERROR(VLOOKUP(J102,Атлет!$D$5:$I$104,6,FALSE),(IF(J102&lt;1,0,IF(INT(J102)&gt;=40,100,"Введите целое число")))),"Введите целое число или '-'"))</f>
        <v>0</v>
      </c>
      <c r="L102" s="154"/>
      <c r="M102" s="151">
        <f>IF(L102="-",0,IFERROR(IFERROR(VLOOKUP(L102,Атлет!$E$5:$I$104,5,FALSE),(IF(L102&lt;1,0,IF(INT(L102)&gt;=30,100,"Введите целое число")))),"Введите целое число или '-'"))</f>
        <v>0</v>
      </c>
      <c r="N102" s="155"/>
      <c r="O102" s="153">
        <f>IF(N102="-",0,IFERROR(IFERROR(VLOOKUP(N102,Атлет!$F$5:$I$104,4,FALSE),(IF(N102&lt;1,0,IF(INT(N102)&gt;=90,100,"Введите целое число")))),"Введите целое число или '-'"))</f>
        <v>0</v>
      </c>
      <c r="P102" s="154"/>
      <c r="Q102" s="151">
        <f>IF(P102="-",0,IFERROR(IFERROR(VLOOKUP(P102,Атлет!$G$5:$I$104,3,FALSE),(IF(P102&lt;1,0,IF(INT(P102)&gt;=100,100,"Введите целое число")))),"Введите целое число или '-'"))</f>
        <v>0</v>
      </c>
      <c r="R102" s="156"/>
      <c r="S102" s="149">
        <f t="array" ref="S102">IF(R102=0,0,IF(MIN(IF(Атлет!$H$5:$H$104&gt;=R102,Атлет!$H$5:$H$104))=0,0,VLOOKUP(MIN(IF(Атлет!$H$5:$H$104&gt;=R102,Атлет!$H$5:$H$104)),Атлет!$H$5:$I$104,2)))</f>
        <v>0</v>
      </c>
      <c r="T102" s="157">
        <f>S102+Q102+O102+M102+K102+I102+G102</f>
        <v>0</v>
      </c>
      <c r="U102" s="144" t="str">
        <f>IF(T102&lt;=0, "", RANK(T102,$T$5:$T$104,0))</f>
        <v/>
      </c>
    </row>
    <row r="103" spans="1:21" ht="19.5" customHeight="1" x14ac:dyDescent="0.2">
      <c r="A103" s="145">
        <v>99</v>
      </c>
      <c r="B103" s="159"/>
      <c r="C103" s="146"/>
      <c r="D103" s="147"/>
      <c r="E103" s="164"/>
      <c r="F103" s="148"/>
      <c r="G103" s="149">
        <f>IF(F103="-",0,IFERROR(IFERROR(VLOOKUP(F103,Атлет!$B$5:$I$104,8,FALSE),(IF(F103&lt;1,0,IF(INT(F103)&gt;=25,100,"Введите целое число")))),"Введите целое число или '-'"))</f>
        <v>0</v>
      </c>
      <c r="H103" s="150"/>
      <c r="I103" s="151">
        <f t="array" ref="I103">IF(H103=0,0,IF(MIN(IF(Атлет!$C$5:$C$104&gt;=H103,Атлет!$C$5:$C$104))=0,0,VLOOKUP(MIN(IF(Атлет!$C$5:$C$104&gt;=H103,Атлет!$C$5:$C$104)),Атлет!$C$5:$I$104,7)))</f>
        <v>0</v>
      </c>
      <c r="J103" s="152"/>
      <c r="K103" s="153">
        <f>IF(J103="-",0,IFERROR(IFERROR(VLOOKUP(J103,Атлет!$D$5:$I$104,6,FALSE),(IF(J103&lt;1,0,IF(INT(J103)&gt;=40,100,"Введите целое число")))),"Введите целое число или '-'"))</f>
        <v>0</v>
      </c>
      <c r="L103" s="154"/>
      <c r="M103" s="151">
        <f>IF(L103="-",0,IFERROR(IFERROR(VLOOKUP(L103,Атлет!$E$5:$I$104,5,FALSE),(IF(L103&lt;1,0,IF(INT(L103)&gt;=30,100,"Введите целое число")))),"Введите целое число или '-'"))</f>
        <v>0</v>
      </c>
      <c r="N103" s="148"/>
      <c r="O103" s="153">
        <f>IF(N103="-",0,IFERROR(IFERROR(VLOOKUP(N103,Атлет!$F$5:$I$104,4,FALSE),(IF(N103&lt;1,0,IF(INT(N103)&gt;=90,100,"Введите целое число")))),"Введите целое число или '-'"))</f>
        <v>0</v>
      </c>
      <c r="P103" s="154"/>
      <c r="Q103" s="151">
        <f>IF(P103="-",0,IFERROR(IFERROR(VLOOKUP(P103,Атлет!$G$5:$I$104,3,FALSE),(IF(P103&lt;1,0,IF(INT(P103)&gt;=100,100,"Введите целое число")))),"Введите целое число или '-'"))</f>
        <v>0</v>
      </c>
      <c r="R103" s="156"/>
      <c r="S103" s="149">
        <f t="array" ref="S103">IF(R103=0,0,IF(MIN(IF(Атлет!$H$5:$H$104&gt;=R103,Атлет!$H$5:$H$104))=0,0,VLOOKUP(MIN(IF(Атлет!$H$5:$H$104&gt;=R103,Атлет!$H$5:$H$104)),Атлет!$H$5:$I$104,2)))</f>
        <v>0</v>
      </c>
      <c r="T103" s="157">
        <f>S103+Q103+O103+M103+K103+I103+G103</f>
        <v>0</v>
      </c>
      <c r="U103" s="144" t="str">
        <f>IF(T103&lt;=0, "", RANK(T103,$T$5:$T$104,0))</f>
        <v/>
      </c>
    </row>
    <row r="104" spans="1:21" ht="19.5" customHeight="1" thickBot="1" x14ac:dyDescent="0.25">
      <c r="A104" s="132">
        <v>100</v>
      </c>
      <c r="B104" s="170"/>
      <c r="C104" s="170"/>
      <c r="D104" s="294"/>
      <c r="E104" s="295"/>
      <c r="F104" s="171"/>
      <c r="G104" s="172">
        <f>IF(F104="-",0,IFERROR(IFERROR(VLOOKUP(F104,Атлет!$B$5:$I$104,8,FALSE),(IF(F104&lt;1,0,IF(INT(F104)&gt;=25,100,"Введите целое число")))),"Введите целое число или '-'"))</f>
        <v>0</v>
      </c>
      <c r="H104" s="173"/>
      <c r="I104" s="174">
        <f t="array" ref="I104">IF(H104=0,0,IF(MIN(IF(Атлет!$C$5:$C$104&gt;=H104,Атлет!$C$5:$C$104))=0,0,VLOOKUP(MIN(IF(Атлет!$C$5:$C$104&gt;=H104,Атлет!$C$5:$C$104)),Атлет!$C$5:$I$104,7)))</f>
        <v>0</v>
      </c>
      <c r="J104" s="175"/>
      <c r="K104" s="176">
        <f>IF(J104="-",0,IFERROR(IFERROR(VLOOKUP(J104,Атлет!$D$5:$I$104,6,FALSE),(IF(J104&lt;1,0,IF(INT(J104)&gt;=40,100,"Введите целое число")))),"Введите целое число или '-'"))</f>
        <v>0</v>
      </c>
      <c r="L104" s="297"/>
      <c r="M104" s="174">
        <f>IF(L104="-",0,IFERROR(IFERROR(VLOOKUP(L104,Атлет!$E$5:$I$104,5,FALSE),(IF(L104&lt;1,0,IF(INT(L104)&gt;=30,100,"Введите целое число")))),"Введите целое число или '-'"))</f>
        <v>0</v>
      </c>
      <c r="N104" s="177"/>
      <c r="O104" s="176">
        <f>IF(N104="-",0,IFERROR(IFERROR(VLOOKUP(N104,Атлет!$F$5:$I$104,4,FALSE),(IF(N104&lt;1,0,IF(INT(N104)&gt;=90,100,"Введите целое число")))),"Введите целое число или '-'"))</f>
        <v>0</v>
      </c>
      <c r="P104" s="178"/>
      <c r="Q104" s="174">
        <f>IF(P104="-",0,IFERROR(IFERROR(VLOOKUP(P104,Атлет!$G$5:$I$104,3,FALSE),(IF(P104&lt;1,0,IF(INT(P104)&gt;=100,100,"Введите целое число")))),"Введите целое число или '-'"))</f>
        <v>0</v>
      </c>
      <c r="R104" s="179"/>
      <c r="S104" s="172">
        <f t="array" ref="S104">IF(R104=0,0,IF(MIN(IF(Атлет!$H$5:$H$104&gt;=R104,Атлет!$H$5:$H$104))=0,0,VLOOKUP(MIN(IF(Атлет!$H$5:$H$104&gt;=R104,Атлет!$H$5:$H$104)),Атлет!$H$5:$I$104,2)))</f>
        <v>0</v>
      </c>
      <c r="T104" s="180">
        <f>S104+Q104+O104+M104+K104+I104+G104</f>
        <v>0</v>
      </c>
      <c r="U104" s="144" t="str">
        <f>IF(T104&lt;=0, "", RANK(T104,$T$5:$T$104,0))</f>
        <v/>
      </c>
    </row>
    <row r="105" spans="1:21" ht="21" x14ac:dyDescent="0.2">
      <c r="A105" s="190"/>
      <c r="B105" s="194"/>
      <c r="C105" s="194"/>
      <c r="D105" s="190"/>
      <c r="E105" s="191"/>
      <c r="F105" s="195"/>
      <c r="G105" s="190"/>
      <c r="H105" s="190"/>
      <c r="I105" s="190"/>
      <c r="J105" s="196"/>
      <c r="K105" s="190"/>
      <c r="L105" s="190"/>
      <c r="M105" s="190"/>
      <c r="N105" s="190"/>
      <c r="O105" s="190"/>
      <c r="P105" s="190"/>
      <c r="Q105" s="190"/>
      <c r="R105" s="190"/>
      <c r="S105" s="190"/>
      <c r="T105" s="190"/>
      <c r="U105" s="190"/>
    </row>
    <row r="106" spans="1:21" ht="21" x14ac:dyDescent="0.2">
      <c r="A106" s="190"/>
      <c r="B106" s="194"/>
      <c r="C106" s="194"/>
      <c r="D106" s="190"/>
      <c r="E106" s="191"/>
      <c r="F106" s="195"/>
      <c r="G106" s="190"/>
      <c r="H106" s="190"/>
      <c r="I106" s="190"/>
      <c r="J106" s="196"/>
      <c r="K106" s="190"/>
      <c r="L106" s="190"/>
      <c r="M106" s="190"/>
      <c r="N106" s="190"/>
      <c r="O106" s="190"/>
      <c r="P106" s="190"/>
      <c r="Q106" s="190"/>
      <c r="R106" s="190"/>
      <c r="S106" s="190"/>
      <c r="T106" s="190"/>
      <c r="U106" s="190"/>
    </row>
    <row r="107" spans="1:21" ht="21" x14ac:dyDescent="0.3">
      <c r="A107" s="188" t="s">
        <v>144</v>
      </c>
      <c r="B107" s="189"/>
      <c r="C107" s="189"/>
      <c r="D107" s="190"/>
      <c r="E107" s="191"/>
      <c r="F107" s="195"/>
      <c r="G107" s="190"/>
      <c r="H107" s="190"/>
      <c r="I107" s="192" t="s">
        <v>145</v>
      </c>
      <c r="J107" s="196"/>
      <c r="K107" s="190"/>
      <c r="L107" s="190"/>
      <c r="M107" s="190"/>
      <c r="N107" s="190"/>
      <c r="O107" s="190"/>
      <c r="P107" s="190"/>
      <c r="Q107" s="190"/>
      <c r="R107" s="190"/>
      <c r="S107" s="190"/>
      <c r="T107" s="190"/>
      <c r="U107" s="190"/>
    </row>
    <row r="108" spans="1:21" ht="21" x14ac:dyDescent="0.2">
      <c r="A108" s="190"/>
      <c r="B108" s="194"/>
      <c r="C108" s="194"/>
      <c r="D108" s="190"/>
      <c r="E108" s="191"/>
      <c r="F108" s="195"/>
      <c r="G108" s="190"/>
      <c r="H108" s="190"/>
      <c r="I108" s="190"/>
      <c r="J108" s="196"/>
      <c r="K108" s="190"/>
      <c r="L108" s="190"/>
      <c r="M108" s="190"/>
      <c r="N108" s="190"/>
      <c r="O108" s="190"/>
      <c r="P108" s="190"/>
      <c r="Q108" s="190"/>
      <c r="R108" s="190"/>
      <c r="S108" s="190"/>
      <c r="T108" s="190"/>
      <c r="U108" s="190"/>
    </row>
    <row r="109" spans="1:21" ht="21" x14ac:dyDescent="0.2">
      <c r="A109" s="193" t="s">
        <v>141</v>
      </c>
      <c r="B109" s="194"/>
      <c r="C109" s="194"/>
      <c r="D109" s="190"/>
      <c r="E109" s="191"/>
      <c r="F109" s="195"/>
      <c r="G109" s="190"/>
      <c r="H109" s="190"/>
      <c r="I109" s="190"/>
      <c r="J109" s="196"/>
      <c r="K109" s="190"/>
      <c r="L109" s="190"/>
      <c r="M109" s="190"/>
      <c r="N109" s="190"/>
      <c r="O109" s="190"/>
      <c r="P109" s="190"/>
      <c r="Q109" s="190"/>
      <c r="R109" s="190"/>
      <c r="S109" s="190"/>
      <c r="T109" s="190"/>
      <c r="U109" s="190"/>
    </row>
  </sheetData>
  <sheetProtection algorithmName="SHA-512" hashValue="Z69vJtwEPNkGIv9LB1Q/NP3JSgz4zmjsPh6afsINd0a5m3c21/yFaUlebYWd2Xs17zGH/4J+fwajL+EBiPmjiA==" saltValue="ns7utcvOsFmpKOuDkXISDw==" spinCount="100000" sheet="1" objects="1" scenarios="1" sort="0" autoFilter="0"/>
  <protectedRanges>
    <protectedRange password="CE28" sqref="B5:C104" name="Диапазон1_1"/>
  </protectedRanges>
  <sortState xmlns:xlrd2="http://schemas.microsoft.com/office/spreadsheetml/2017/richdata2" ref="C5:U104">
    <sortCondition ref="U5:U104"/>
    <sortCondition ref="E5:E104"/>
    <sortCondition ref="D5:D104"/>
  </sortState>
  <dataConsolidate function="average">
    <dataRefs count="2">
      <dataRef name="2024-1"/>
      <dataRef ref="D7:K206" sheet="Ведомость 2 курс" r:id="rId1"/>
    </dataRefs>
  </dataConsolidate>
  <mergeCells count="22">
    <mergeCell ref="A1:U1"/>
    <mergeCell ref="P2:Q2"/>
    <mergeCell ref="P3:Q3"/>
    <mergeCell ref="R2:S2"/>
    <mergeCell ref="R3:S3"/>
    <mergeCell ref="F2:G2"/>
    <mergeCell ref="H2:I2"/>
    <mergeCell ref="J2:K2"/>
    <mergeCell ref="L2:M2"/>
    <mergeCell ref="F3:G3"/>
    <mergeCell ref="H3:I3"/>
    <mergeCell ref="L3:M3"/>
    <mergeCell ref="J3:K3"/>
    <mergeCell ref="N2:O2"/>
    <mergeCell ref="N3:O3"/>
    <mergeCell ref="T2:T4"/>
    <mergeCell ref="U2:U4"/>
    <mergeCell ref="A2:A4"/>
    <mergeCell ref="B2:B4"/>
    <mergeCell ref="D2:D4"/>
    <mergeCell ref="E2:E4"/>
    <mergeCell ref="C2:C4"/>
  </mergeCells>
  <conditionalFormatting sqref="L4">
    <cfRule type="cellIs" dxfId="11" priority="19" operator="equal">
      <formula>"-"</formula>
    </cfRule>
  </conditionalFormatting>
  <conditionalFormatting sqref="P2:P3">
    <cfRule type="cellIs" dxfId="10" priority="6" operator="equal">
      <formula>"-"</formula>
    </cfRule>
  </conditionalFormatting>
  <conditionalFormatting sqref="R2:R3">
    <cfRule type="cellIs" dxfId="9" priority="5" operator="equal">
      <formula>"-"</formula>
    </cfRule>
  </conditionalFormatting>
  <conditionalFormatting sqref="N2:N3">
    <cfRule type="cellIs" dxfId="8" priority="3" operator="equal">
      <formula>"-"</formula>
    </cfRule>
  </conditionalFormatting>
  <conditionalFormatting sqref="P4">
    <cfRule type="cellIs" dxfId="7" priority="1" operator="equal">
      <formula>"-"</formula>
    </cfRule>
  </conditionalFormatting>
  <conditionalFormatting sqref="N4">
    <cfRule type="cellIs" dxfId="6" priority="2" operator="equal">
      <formula>"-"</formula>
    </cfRule>
  </conditionalFormatting>
  <pageMargins left="0" right="0" top="0" bottom="0" header="0.39370078740157483" footer="0.39370078740157483"/>
  <pageSetup paperSize="9" scale="50" fitToHeight="12" orientation="landscape" r:id="rId2"/>
  <headerFooter alignWithMargins="0"/>
  <rowBreaks count="2" manualBreakCount="2">
    <brk id="46" max="19" man="1"/>
    <brk id="90" max="19" man="1"/>
  </rowBreak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PublishResultsAsHTML">
                <anchor moveWithCells="1" sizeWithCells="1">
                  <from>
                    <xdr:col>21</xdr:col>
                    <xdr:colOff>342900</xdr:colOff>
                    <xdr:row>0</xdr:row>
                    <xdr:rowOff>276225</xdr:rowOff>
                  </from>
                  <to>
                    <xdr:col>27</xdr:col>
                    <xdr:colOff>285750</xdr:colOff>
                    <xdr:row>109</xdr:row>
                    <xdr:rowOff>28575</xdr:rowOff>
                  </to>
                </anchor>
              </controlPr>
            </control>
          </mc:Choice>
        </mc:AlternateContent>
      </controls>
    </mc:Choice>
  </mc:AlternateContent>
  <webPublishItems count="1">
    <webPublishItem id="4805" divId="results" sourceType="sheet" destinationFile="C:\Users\KOTOV\AppData\Local\Temp\competition_table.htm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T107"/>
  <sheetViews>
    <sheetView view="pageBreakPreview" zoomScale="73" zoomScaleNormal="40" zoomScaleSheetLayoutView="73" workbookViewId="0">
      <selection activeCell="E4" sqref="E4"/>
    </sheetView>
  </sheetViews>
  <sheetFormatPr defaultColWidth="9.140625" defaultRowHeight="18.75" outlineLevelCol="1" x14ac:dyDescent="0.2"/>
  <cols>
    <col min="1" max="1" width="8.7109375" style="3" customWidth="1"/>
    <col min="2" max="2" width="11.85546875" style="11" customWidth="1"/>
    <col min="3" max="3" width="52" style="3" customWidth="1"/>
    <col min="4" max="4" width="27" style="68" customWidth="1"/>
    <col min="5" max="5" width="10.7109375" style="12" customWidth="1" outlineLevel="1"/>
    <col min="6" max="6" width="11.7109375" style="3" customWidth="1"/>
    <col min="7" max="7" width="14.140625" style="3" customWidth="1" outlineLevel="1"/>
    <col min="8" max="8" width="11" style="3" customWidth="1"/>
    <col min="9" max="9" width="10.85546875" style="10" customWidth="1"/>
    <col min="10" max="12" width="12.42578125" style="3" customWidth="1"/>
    <col min="13" max="13" width="10.42578125" style="3" customWidth="1"/>
    <col min="14" max="14" width="11" style="3" customWidth="1"/>
    <col min="15" max="16" width="12.42578125" style="3" customWidth="1"/>
    <col min="17" max="17" width="14.5703125" style="3" customWidth="1"/>
    <col min="18" max="18" width="10.7109375" style="3" customWidth="1"/>
    <col min="19" max="19" width="11.42578125" style="3" customWidth="1"/>
    <col min="20" max="20" width="9.5703125" style="3" customWidth="1"/>
    <col min="21" max="16384" width="9.140625" style="3"/>
  </cols>
  <sheetData>
    <row r="1" spans="1:20" s="1" customFormat="1" ht="67.5" customHeight="1" thickBot="1" x14ac:dyDescent="0.25">
      <c r="A1" s="213" t="s">
        <v>138</v>
      </c>
      <c r="B1" s="214"/>
      <c r="C1" s="214"/>
      <c r="D1" s="214"/>
      <c r="E1" s="214"/>
      <c r="F1" s="214"/>
      <c r="G1" s="214"/>
      <c r="H1" s="214"/>
      <c r="I1" s="214"/>
      <c r="J1" s="214"/>
      <c r="K1" s="214"/>
      <c r="L1" s="214"/>
      <c r="M1" s="214"/>
      <c r="N1" s="214"/>
      <c r="O1" s="214"/>
      <c r="P1" s="214"/>
      <c r="Q1" s="214"/>
      <c r="R1" s="214"/>
      <c r="S1" s="214"/>
      <c r="T1" s="215"/>
    </row>
    <row r="2" spans="1:20" s="1" customFormat="1" ht="102" customHeight="1" x14ac:dyDescent="0.2">
      <c r="A2" s="259" t="s">
        <v>4</v>
      </c>
      <c r="B2" s="262" t="s">
        <v>109</v>
      </c>
      <c r="C2" s="262" t="s">
        <v>2</v>
      </c>
      <c r="D2" s="265" t="s">
        <v>110</v>
      </c>
      <c r="E2" s="268" t="s">
        <v>111</v>
      </c>
      <c r="F2" s="269"/>
      <c r="G2" s="270" t="s">
        <v>112</v>
      </c>
      <c r="H2" s="271"/>
      <c r="I2" s="272" t="s">
        <v>113</v>
      </c>
      <c r="J2" s="273"/>
      <c r="K2" s="274" t="s">
        <v>114</v>
      </c>
      <c r="L2" s="275"/>
      <c r="M2" s="276" t="s">
        <v>120</v>
      </c>
      <c r="N2" s="277"/>
      <c r="O2" s="247" t="s">
        <v>118</v>
      </c>
      <c r="P2" s="248"/>
      <c r="Q2" s="249" t="s">
        <v>119</v>
      </c>
      <c r="R2" s="250"/>
      <c r="S2" s="251" t="s">
        <v>135</v>
      </c>
      <c r="T2" s="254" t="s">
        <v>142</v>
      </c>
    </row>
    <row r="3" spans="1:20" s="2" customFormat="1" ht="18.75" customHeight="1" x14ac:dyDescent="0.2">
      <c r="A3" s="260"/>
      <c r="B3" s="263"/>
      <c r="C3" s="263"/>
      <c r="D3" s="266"/>
      <c r="E3" s="278" t="s">
        <v>0</v>
      </c>
      <c r="F3" s="279"/>
      <c r="G3" s="280" t="s">
        <v>1</v>
      </c>
      <c r="H3" s="281"/>
      <c r="I3" s="282">
        <v>3</v>
      </c>
      <c r="J3" s="283"/>
      <c r="K3" s="284" t="s">
        <v>7</v>
      </c>
      <c r="L3" s="285"/>
      <c r="M3" s="286" t="s">
        <v>115</v>
      </c>
      <c r="N3" s="287"/>
      <c r="O3" s="257" t="s">
        <v>116</v>
      </c>
      <c r="P3" s="258"/>
      <c r="Q3" s="288" t="s">
        <v>117</v>
      </c>
      <c r="R3" s="289"/>
      <c r="S3" s="252"/>
      <c r="T3" s="255"/>
    </row>
    <row r="4" spans="1:20" s="2" customFormat="1" ht="65.25" customHeight="1" thickBot="1" x14ac:dyDescent="0.25">
      <c r="A4" s="261"/>
      <c r="B4" s="264"/>
      <c r="C4" s="264"/>
      <c r="D4" s="267"/>
      <c r="E4" s="124" t="s">
        <v>3</v>
      </c>
      <c r="F4" s="125" t="s">
        <v>6</v>
      </c>
      <c r="G4" s="126" t="s">
        <v>5</v>
      </c>
      <c r="H4" s="127" t="s">
        <v>6</v>
      </c>
      <c r="I4" s="128" t="s">
        <v>3</v>
      </c>
      <c r="J4" s="125" t="s">
        <v>6</v>
      </c>
      <c r="K4" s="129" t="s">
        <v>3</v>
      </c>
      <c r="L4" s="127" t="s">
        <v>6</v>
      </c>
      <c r="M4" s="128" t="s">
        <v>3</v>
      </c>
      <c r="N4" s="125" t="s">
        <v>6</v>
      </c>
      <c r="O4" s="129" t="s">
        <v>3</v>
      </c>
      <c r="P4" s="127" t="s">
        <v>6</v>
      </c>
      <c r="Q4" s="130" t="s">
        <v>5</v>
      </c>
      <c r="R4" s="125" t="s">
        <v>6</v>
      </c>
      <c r="S4" s="253"/>
      <c r="T4" s="256"/>
    </row>
    <row r="5" spans="1:20" ht="20.100000000000001" customHeight="1" x14ac:dyDescent="0.2">
      <c r="A5" s="70">
        <v>1</v>
      </c>
      <c r="B5" s="71">
        <v>1</v>
      </c>
      <c r="C5" s="72" t="s">
        <v>104</v>
      </c>
      <c r="D5" s="73" t="s">
        <v>126</v>
      </c>
      <c r="E5" s="74">
        <v>7</v>
      </c>
      <c r="F5" s="75">
        <f>IF(E5="-",0,IFERROR(IFERROR(VLOOKUP(E5,Атлет!$B$5:$I$104,8,FALSE),(IF(E5&lt;1,0,IF(INT(E5)&gt;=25,100,"Введите целое число")))),"Введите целое число или '-'"))</f>
        <v>28</v>
      </c>
      <c r="G5" s="76">
        <v>2.2000000000000002</v>
      </c>
      <c r="H5" s="77">
        <f t="array" ref="H5">IF(G5=0,0,IF(MIN(IF(Атлет!$C$5:$C$104&gt;=G5,Атлет!$C$5:$C$104))=0,0,VLOOKUP(MIN(IF(Атлет!$C$5:$C$104&gt;=G5,Атлет!$C$5:$C$104)),Атлет!$C$5:$I$104,7)))</f>
        <v>100</v>
      </c>
      <c r="I5" s="78">
        <v>1</v>
      </c>
      <c r="J5" s="79">
        <f>IF(I5="-",0,IFERROR(IFERROR(VLOOKUP(I5,Атлет!$D$5:$I$104,6,FALSE),(IF(I5&lt;1,0,IF(INT(I5)&gt;=40,100,"Введите целое число")))),"Введите целое число или '-'"))</f>
        <v>2</v>
      </c>
      <c r="K5" s="80">
        <v>5</v>
      </c>
      <c r="L5" s="77">
        <f>IF(K5="-",0,IFERROR(IFERROR(VLOOKUP(K5,Атлет!$E$5:$I$104,5,FALSE),(IF(K5&lt;1,0,IF(INT(K5)&gt;=30,100,"Введите целое число")))),"Введите целое число или '-'"))</f>
        <v>24</v>
      </c>
      <c r="M5" s="74">
        <v>1</v>
      </c>
      <c r="N5" s="79">
        <f>IF(M5="-",0,IFERROR(IFERROR(VLOOKUP(M5,Атлет!$F$5:$I$104,4,FALSE),(IF(M5&lt;1,0,IF(INT(M5)&gt;=90,100,"Введите целое число")))),"Введите целое число или '-'"))</f>
        <v>1</v>
      </c>
      <c r="O5" s="80">
        <v>1</v>
      </c>
      <c r="P5" s="77">
        <f>IF(O5="-",0,IFERROR(IFERROR(VLOOKUP(O5,Атлет!$G$5:$I$104,3,FALSE),(IF(O5&lt;1,0,IF(INT(O5)&gt;=100,100,"Введите целое число")))),"Введите целое число или '-'"))</f>
        <v>1</v>
      </c>
      <c r="Q5" s="81">
        <v>35</v>
      </c>
      <c r="R5" s="75">
        <f t="array" ref="R5">IF(Q5=0,0,IF(MIN(IF(Атлет!$H$5:$H$104&gt;=Q5,Атлет!$H$5:$H$104))=0,0,VLOOKUP(MIN(IF(Атлет!$H$5:$H$104&gt;=Q5,Атлет!$H$5:$H$104)),Атлет!$H$5:$I$104,2)))</f>
        <v>100</v>
      </c>
      <c r="S5" s="82">
        <f t="shared" ref="S5:S68" si="0">R5+P5+N5+L5+J5+H5+F5</f>
        <v>256</v>
      </c>
      <c r="T5" s="83">
        <f t="shared" ref="T5:T68" si="1">RANK(S5,$S$5:$S$104,0)</f>
        <v>91</v>
      </c>
    </row>
    <row r="6" spans="1:20" ht="20.100000000000001" customHeight="1" x14ac:dyDescent="0.2">
      <c r="A6" s="84">
        <v>2</v>
      </c>
      <c r="B6" s="9">
        <v>2</v>
      </c>
      <c r="C6" s="85" t="s">
        <v>49</v>
      </c>
      <c r="D6" s="86" t="s">
        <v>126</v>
      </c>
      <c r="E6" s="87">
        <v>4</v>
      </c>
      <c r="F6" s="88">
        <f>IF(E6="-",0,IFERROR(IFERROR(VLOOKUP(E6,Атлет!$B$5:$I$104,8,FALSE),(IF(E6&lt;1,0,IF(INT(E6)&gt;=25,100,"Введите целое число")))),"Введите целое число или '-'"))</f>
        <v>16</v>
      </c>
      <c r="G6" s="89">
        <v>2.1</v>
      </c>
      <c r="H6" s="90">
        <f t="array" ref="H6">IF(G6=0,0,IF(MIN(IF(Атлет!$C$5:$C$104&gt;=G6,Атлет!$C$5:$C$104))=0,0,VLOOKUP(MIN(IF(Атлет!$C$5:$C$104&gt;=G6,Атлет!$C$5:$C$104)),Атлет!$C$5:$I$104,7)))</f>
        <v>100</v>
      </c>
      <c r="I6" s="91">
        <v>2</v>
      </c>
      <c r="J6" s="92">
        <f>IF(I6="-",0,IFERROR(IFERROR(VLOOKUP(I6,Атлет!$D$5:$I$104,6,FALSE),(IF(I6&lt;1,0,IF(INT(I6)&gt;=40,100,"Введите целое число")))),"Введите целое число или '-'"))</f>
        <v>4</v>
      </c>
      <c r="K6" s="93">
        <v>2</v>
      </c>
      <c r="L6" s="90">
        <f>IF(K6="-",0,IFERROR(IFERROR(VLOOKUP(K6,Атлет!$E$5:$I$104,5,FALSE),(IF(K6&lt;1,0,IF(INT(K6)&gt;=30,100,"Введите целое число")))),"Введите целое число или '-'"))</f>
        <v>10</v>
      </c>
      <c r="M6" s="94">
        <v>2</v>
      </c>
      <c r="N6" s="92">
        <f>IF(M6="-",0,IFERROR(IFERROR(VLOOKUP(M6,Атлет!$F$5:$I$104,4,FALSE),(IF(M6&lt;1,0,IF(INT(M6)&gt;=90,100,"Введите целое число")))),"Введите целое число или '-'"))</f>
        <v>2</v>
      </c>
      <c r="O6" s="93">
        <v>2</v>
      </c>
      <c r="P6" s="90">
        <f>IF(O6="-",0,IFERROR(IFERROR(VLOOKUP(O6,Атлет!$G$5:$I$104,3,FALSE),(IF(O6&lt;1,0,IF(INT(O6)&gt;=100,100,"Введите целое число")))),"Введите целое число или '-'"))</f>
        <v>2</v>
      </c>
      <c r="Q6" s="95">
        <v>30</v>
      </c>
      <c r="R6" s="88">
        <f t="array" ref="R6">IF(Q6=0,0,IF(MIN(IF(Атлет!$H$5:$H$104&gt;=Q6,Атлет!$H$5:$H$104))=0,0,VLOOKUP(MIN(IF(Атлет!$H$5:$H$104&gt;=Q6,Атлет!$H$5:$H$104)),Атлет!$H$5:$I$104,2)))</f>
        <v>100</v>
      </c>
      <c r="S6" s="96">
        <f t="shared" si="0"/>
        <v>234</v>
      </c>
      <c r="T6" s="97">
        <f t="shared" si="1"/>
        <v>93</v>
      </c>
    </row>
    <row r="7" spans="1:20" ht="20.100000000000001" customHeight="1" x14ac:dyDescent="0.2">
      <c r="A7" s="84">
        <v>3</v>
      </c>
      <c r="B7" s="98">
        <v>3</v>
      </c>
      <c r="C7" s="99" t="s">
        <v>90</v>
      </c>
      <c r="D7" s="86" t="s">
        <v>126</v>
      </c>
      <c r="E7" s="87">
        <v>25</v>
      </c>
      <c r="F7" s="88">
        <f>IF(E7="-",0,IFERROR(IFERROR(VLOOKUP(E7,Атлет!$B$5:$I$104,8,FALSE),(IF(E7&lt;1,0,IF(INT(E7)&gt;=25,100,"Введите целое число")))),"Введите целое число или '-'"))</f>
        <v>100</v>
      </c>
      <c r="G7" s="89">
        <v>2.2200000000000002</v>
      </c>
      <c r="H7" s="90">
        <f t="array" ref="H7">IF(G7=0,0,IF(MIN(IF(Атлет!$C$5:$C$104&gt;=G7,Атлет!$C$5:$C$104))=0,0,VLOOKUP(MIN(IF(Атлет!$C$5:$C$104&gt;=G7,Атлет!$C$5:$C$104)),Атлет!$C$5:$I$104,7)))</f>
        <v>98</v>
      </c>
      <c r="I7" s="91">
        <v>3</v>
      </c>
      <c r="J7" s="92">
        <f>IF(I7="-",0,IFERROR(IFERROR(VLOOKUP(I7,Атлет!$D$5:$I$104,6,FALSE),(IF(I7&lt;1,0,IF(INT(I7)&gt;=40,100,"Введите целое число")))),"Введите целое число или '-'"))</f>
        <v>6</v>
      </c>
      <c r="K7" s="93">
        <v>3</v>
      </c>
      <c r="L7" s="90">
        <f>IF(K7="-",0,IFERROR(IFERROR(VLOOKUP(K7,Атлет!$E$5:$I$104,5,FALSE),(IF(K7&lt;1,0,IF(INT(K7)&gt;=30,100,"Введите целое число")))),"Введите целое число или '-'"))</f>
        <v>15</v>
      </c>
      <c r="M7" s="94">
        <v>3</v>
      </c>
      <c r="N7" s="92">
        <f>IF(M7="-",0,IFERROR(IFERROR(VLOOKUP(M7,Атлет!$F$5:$I$104,4,FALSE),(IF(M7&lt;1,0,IF(INT(M7)&gt;=90,100,"Введите целое число")))),"Введите целое число или '-'"))</f>
        <v>3</v>
      </c>
      <c r="O7" s="93">
        <v>3</v>
      </c>
      <c r="P7" s="90">
        <f>IF(O7="-",0,IFERROR(IFERROR(VLOOKUP(O7,Атлет!$G$5:$I$104,3,FALSE),(IF(O7&lt;1,0,IF(INT(O7)&gt;=100,100,"Введите целое число")))),"Введите целое число или '-'"))</f>
        <v>3</v>
      </c>
      <c r="Q7" s="95">
        <v>35.200000000000003</v>
      </c>
      <c r="R7" s="88">
        <f t="array" ref="R7">IF(Q7=0,0,IF(MIN(IF(Атлет!$H$5:$H$104&gt;=Q7,Атлет!$H$5:$H$104))=0,0,VLOOKUP(MIN(IF(Атлет!$H$5:$H$104&gt;=Q7,Атлет!$H$5:$H$104)),Атлет!$H$5:$I$104,2)))</f>
        <v>98</v>
      </c>
      <c r="S7" s="96">
        <f t="shared" si="0"/>
        <v>323</v>
      </c>
      <c r="T7" s="97">
        <f t="shared" si="1"/>
        <v>52</v>
      </c>
    </row>
    <row r="8" spans="1:20" ht="20.25" x14ac:dyDescent="0.2">
      <c r="A8" s="84">
        <v>4</v>
      </c>
      <c r="B8" s="98">
        <v>4</v>
      </c>
      <c r="C8" s="85" t="s">
        <v>39</v>
      </c>
      <c r="D8" s="86" t="s">
        <v>126</v>
      </c>
      <c r="E8" s="87">
        <v>1</v>
      </c>
      <c r="F8" s="88">
        <f>IF(E8="-",0,IFERROR(IFERROR(VLOOKUP(E8,Атлет!$B$5:$I$104,8,FALSE),(IF(E8&lt;1,0,IF(INT(E8)&gt;=25,100,"Введите целое число")))),"Введите целое число или '-'"))</f>
        <v>4</v>
      </c>
      <c r="G8" s="89">
        <v>2.23</v>
      </c>
      <c r="H8" s="90">
        <f t="array" ref="H8">IF(G8=0,0,IF(MIN(IF(Атлет!$C$5:$C$104&gt;=G8,Атлет!$C$5:$C$104))=0,0,VLOOKUP(MIN(IF(Атлет!$C$5:$C$104&gt;=G8,Атлет!$C$5:$C$104)),Атлет!$C$5:$I$104,7)))</f>
        <v>97</v>
      </c>
      <c r="I8" s="91">
        <v>4</v>
      </c>
      <c r="J8" s="92">
        <f>IF(I8="-",0,IFERROR(IFERROR(VLOOKUP(I8,Атлет!$D$5:$I$104,6,FALSE),(IF(I8&lt;1,0,IF(INT(I8)&gt;=40,100,"Введите целое число")))),"Введите целое число или '-'"))</f>
        <v>8</v>
      </c>
      <c r="K8" s="93">
        <v>4</v>
      </c>
      <c r="L8" s="90">
        <f>IF(K8="-",0,IFERROR(IFERROR(VLOOKUP(K8,Атлет!$E$5:$I$104,5,FALSE),(IF(K8&lt;1,0,IF(INT(K8)&gt;=30,100,"Введите целое число")))),"Введите целое число или '-'"))</f>
        <v>20</v>
      </c>
      <c r="M8" s="87">
        <v>4</v>
      </c>
      <c r="N8" s="92">
        <f>IF(M8="-",0,IFERROR(IFERROR(VLOOKUP(M8,Атлет!$F$5:$I$104,4,FALSE),(IF(M8&lt;1,0,IF(INT(M8)&gt;=90,100,"Введите целое число")))),"Введите целое число или '-'"))</f>
        <v>4</v>
      </c>
      <c r="O8" s="93">
        <v>4</v>
      </c>
      <c r="P8" s="90">
        <f>IF(O8="-",0,IFERROR(IFERROR(VLOOKUP(O8,Атлет!$G$5:$I$104,3,FALSE),(IF(O8&lt;1,0,IF(INT(O8)&gt;=100,100,"Введите целое число")))),"Введите целое число или '-'"))</f>
        <v>4</v>
      </c>
      <c r="Q8" s="95">
        <v>35.299999999999997</v>
      </c>
      <c r="R8" s="88">
        <f t="array" ref="R8">IF(Q8=0,0,IF(MIN(IF(Атлет!$H$5:$H$104&gt;=Q8,Атлет!$H$5:$H$104))=0,0,VLOOKUP(MIN(IF(Атлет!$H$5:$H$104&gt;=Q8,Атлет!$H$5:$H$104)),Атлет!$H$5:$I$104,2)))</f>
        <v>97</v>
      </c>
      <c r="S8" s="96">
        <f t="shared" si="0"/>
        <v>234</v>
      </c>
      <c r="T8" s="97">
        <f t="shared" si="1"/>
        <v>93</v>
      </c>
    </row>
    <row r="9" spans="1:20" ht="20.100000000000001" customHeight="1" x14ac:dyDescent="0.3">
      <c r="A9" s="84">
        <v>5</v>
      </c>
      <c r="B9" s="9">
        <v>5</v>
      </c>
      <c r="C9" s="100" t="s">
        <v>71</v>
      </c>
      <c r="D9" s="86" t="s">
        <v>126</v>
      </c>
      <c r="E9" s="87">
        <v>24</v>
      </c>
      <c r="F9" s="88">
        <f>IF(E9="-",0,IFERROR(IFERROR(VLOOKUP(E9,Атлет!$B$5:$I$104,8,FALSE),(IF(E9&lt;1,0,IF(INT(E9)&gt;=25,100,"Введите целое число")))),"Введите целое число или '-'"))</f>
        <v>96</v>
      </c>
      <c r="G9" s="89">
        <v>2.2400000000000002</v>
      </c>
      <c r="H9" s="90">
        <f t="array" ref="H9">IF(G9=0,0,IF(MIN(IF(Атлет!$C$5:$C$104&gt;=G9,Атлет!$C$5:$C$104))=0,0,VLOOKUP(MIN(IF(Атлет!$C$5:$C$104&gt;=G9,Атлет!$C$5:$C$104)),Атлет!$C$5:$I$104,7)))</f>
        <v>96</v>
      </c>
      <c r="I9" s="91">
        <v>5</v>
      </c>
      <c r="J9" s="92">
        <f>IF(I9="-",0,IFERROR(IFERROR(VLOOKUP(I9,Атлет!$D$5:$I$104,6,FALSE),(IF(I9&lt;1,0,IF(INT(I9)&gt;=40,100,"Введите целое число")))),"Введите целое число или '-'"))</f>
        <v>10</v>
      </c>
      <c r="K9" s="93">
        <v>5</v>
      </c>
      <c r="L9" s="90">
        <f>IF(K9="-",0,IFERROR(IFERROR(VLOOKUP(K9,Атлет!$E$5:$I$104,5,FALSE),(IF(K9&lt;1,0,IF(INT(K9)&gt;=30,100,"Введите целое число")))),"Введите целое число или '-'"))</f>
        <v>24</v>
      </c>
      <c r="M9" s="94">
        <v>5</v>
      </c>
      <c r="N9" s="92">
        <f>IF(M9="-",0,IFERROR(IFERROR(VLOOKUP(M9,Атлет!$F$5:$I$104,4,FALSE),(IF(M9&lt;1,0,IF(INT(M9)&gt;=90,100,"Введите целое число")))),"Введите целое число или '-'"))</f>
        <v>5</v>
      </c>
      <c r="O9" s="93">
        <v>5</v>
      </c>
      <c r="P9" s="90">
        <f>IF(O9="-",0,IFERROR(IFERROR(VLOOKUP(O9,Атлет!$G$5:$I$104,3,FALSE),(IF(O9&lt;1,0,IF(INT(O9)&gt;=100,100,"Введите целое число")))),"Введите целое число или '-'"))</f>
        <v>5</v>
      </c>
      <c r="Q9" s="95">
        <v>35.4</v>
      </c>
      <c r="R9" s="88">
        <f t="array" ref="R9">IF(Q9=0,0,IF(MIN(IF(Атлет!$H$5:$H$104&gt;=Q9,Атлет!$H$5:$H$104))=0,0,VLOOKUP(MIN(IF(Атлет!$H$5:$H$104&gt;=Q9,Атлет!$H$5:$H$104)),Атлет!$H$5:$I$104,2)))</f>
        <v>96</v>
      </c>
      <c r="S9" s="96">
        <f t="shared" si="0"/>
        <v>332</v>
      </c>
      <c r="T9" s="97">
        <f t="shared" si="1"/>
        <v>48</v>
      </c>
    </row>
    <row r="10" spans="1:20" ht="20.100000000000001" customHeight="1" x14ac:dyDescent="0.2">
      <c r="A10" s="84">
        <v>6</v>
      </c>
      <c r="B10" s="98">
        <v>6</v>
      </c>
      <c r="C10" s="99" t="s">
        <v>89</v>
      </c>
      <c r="D10" s="101"/>
      <c r="E10" s="87"/>
      <c r="F10" s="88">
        <f>IF(E10="-",0,IFERROR(IFERROR(VLOOKUP(E10,Атлет!$B$5:$I$104,8,FALSE),(IF(E10&lt;1,0,IF(INT(E10)&gt;=25,100,"Введите целое число")))),"Введите целое число или '-'"))</f>
        <v>0</v>
      </c>
      <c r="G10" s="89">
        <v>2.2250000000000001</v>
      </c>
      <c r="H10" s="90">
        <f t="array" ref="H10">IF(G10=0,0,IF(MIN(IF(Атлет!$C$5:$C$104&gt;=G10,Атлет!$C$5:$C$104))=0,0,VLOOKUP(MIN(IF(Атлет!$C$5:$C$104&gt;=G10,Атлет!$C$5:$C$104)),Атлет!$C$5:$I$104,7)))</f>
        <v>97</v>
      </c>
      <c r="I10" s="91">
        <v>6</v>
      </c>
      <c r="J10" s="92">
        <f>IF(I10="-",0,IFERROR(IFERROR(VLOOKUP(I10,Атлет!$D$5:$I$104,6,FALSE),(IF(I10&lt;1,0,IF(INT(I10)&gt;=40,100,"Введите целое число")))),"Введите целое число или '-'"))</f>
        <v>12</v>
      </c>
      <c r="K10" s="93">
        <v>6</v>
      </c>
      <c r="L10" s="90">
        <f>IF(K10="-",0,IFERROR(IFERROR(VLOOKUP(K10,Атлет!$E$5:$I$104,5,FALSE),(IF(K10&lt;1,0,IF(INT(K10)&gt;=30,100,"Введите целое число")))),"Введите целое число или '-'"))</f>
        <v>28</v>
      </c>
      <c r="M10" s="94">
        <v>6</v>
      </c>
      <c r="N10" s="92">
        <f>IF(M10="-",0,IFERROR(IFERROR(VLOOKUP(M10,Атлет!$F$5:$I$104,4,FALSE),(IF(M10&lt;1,0,IF(INT(M10)&gt;=90,100,"Введите целое число")))),"Введите целое число или '-'"))</f>
        <v>6</v>
      </c>
      <c r="O10" s="93">
        <v>6</v>
      </c>
      <c r="P10" s="90">
        <f>IF(O10="-",0,IFERROR(IFERROR(VLOOKUP(O10,Атлет!$G$5:$I$104,3,FALSE),(IF(O10&lt;1,0,IF(INT(O10)&gt;=100,100,"Введите целое число")))),"Введите целое число или '-'"))</f>
        <v>6</v>
      </c>
      <c r="Q10" s="95">
        <v>35.35</v>
      </c>
      <c r="R10" s="88">
        <f t="array" ref="R10">IF(Q10=0,0,IF(MIN(IF(Атлет!$H$5:$H$104&gt;=Q10,Атлет!$H$5:$H$104))=0,0,VLOOKUP(MIN(IF(Атлет!$H$5:$H$104&gt;=Q10,Атлет!$H$5:$H$104)),Атлет!$H$5:$I$104,2)))</f>
        <v>96</v>
      </c>
      <c r="S10" s="96">
        <f t="shared" si="0"/>
        <v>245</v>
      </c>
      <c r="T10" s="97">
        <f t="shared" si="1"/>
        <v>92</v>
      </c>
    </row>
    <row r="11" spans="1:20" ht="20.100000000000001" customHeight="1" x14ac:dyDescent="0.2">
      <c r="A11" s="84">
        <v>7</v>
      </c>
      <c r="B11" s="98">
        <v>7</v>
      </c>
      <c r="C11" s="85" t="s">
        <v>46</v>
      </c>
      <c r="D11" s="102" t="s">
        <v>124</v>
      </c>
      <c r="E11" s="87">
        <v>33</v>
      </c>
      <c r="F11" s="88">
        <f>IF(E11="-",0,IFERROR(IFERROR(VLOOKUP(E11,Атлет!$B$5:$I$104,8,FALSE),(IF(E11&lt;1,0,IF(INT(E11)&gt;=25,100,"Введите целое число")))),"Введите целое число или '-'"))</f>
        <v>100</v>
      </c>
      <c r="G11" s="89">
        <v>2.2599999999999998</v>
      </c>
      <c r="H11" s="90">
        <f t="array" ref="H11">IF(G11=0,0,IF(MIN(IF(Атлет!$C$5:$C$104&gt;=G11,Атлет!$C$5:$C$104))=0,0,VLOOKUP(MIN(IF(Атлет!$C$5:$C$104&gt;=G11,Атлет!$C$5:$C$104)),Атлет!$C$5:$I$104,7)))</f>
        <v>94</v>
      </c>
      <c r="I11" s="91">
        <v>7</v>
      </c>
      <c r="J11" s="92">
        <f>IF(I11="-",0,IFERROR(IFERROR(VLOOKUP(I11,Атлет!$D$5:$I$104,6,FALSE),(IF(I11&lt;1,0,IF(INT(I11)&gt;=40,100,"Введите целое число")))),"Введите целое число или '-'"))</f>
        <v>14</v>
      </c>
      <c r="K11" s="93">
        <v>7</v>
      </c>
      <c r="L11" s="90">
        <f>IF(K11="-",0,IFERROR(IFERROR(VLOOKUP(K11,Атлет!$E$5:$I$104,5,FALSE),(IF(K11&lt;1,0,IF(INT(K11)&gt;=30,100,"Введите целое число")))),"Введите целое число или '-'"))</f>
        <v>32</v>
      </c>
      <c r="M11" s="87">
        <v>7</v>
      </c>
      <c r="N11" s="92">
        <f>IF(M11="-",0,IFERROR(IFERROR(VLOOKUP(M11,Атлет!$F$5:$I$104,4,FALSE),(IF(M11&lt;1,0,IF(INT(M11)&gt;=90,100,"Введите целое число")))),"Введите целое число или '-'"))</f>
        <v>7</v>
      </c>
      <c r="O11" s="93">
        <v>7</v>
      </c>
      <c r="P11" s="90">
        <f>IF(O11="-",0,IFERROR(IFERROR(VLOOKUP(O11,Атлет!$G$5:$I$104,3,FALSE),(IF(O11&lt;1,0,IF(INT(O11)&gt;=100,100,"Введите целое число")))),"Введите целое число или '-'"))</f>
        <v>7</v>
      </c>
      <c r="Q11" s="95">
        <v>36</v>
      </c>
      <c r="R11" s="88">
        <f t="array" ref="R11">IF(Q11=0,0,IF(MIN(IF(Атлет!$H$5:$H$104&gt;=Q11,Атлет!$H$5:$H$104))=0,0,VLOOKUP(MIN(IF(Атлет!$H$5:$H$104&gt;=Q11,Атлет!$H$5:$H$104)),Атлет!$H$5:$I$104,2)))</f>
        <v>94</v>
      </c>
      <c r="S11" s="96">
        <f t="shared" si="0"/>
        <v>348</v>
      </c>
      <c r="T11" s="97">
        <f t="shared" si="1"/>
        <v>43</v>
      </c>
    </row>
    <row r="12" spans="1:20" ht="20.100000000000001" customHeight="1" x14ac:dyDescent="0.2">
      <c r="A12" s="84">
        <v>8</v>
      </c>
      <c r="B12" s="9">
        <v>8</v>
      </c>
      <c r="C12" s="85" t="s">
        <v>25</v>
      </c>
      <c r="D12" s="102" t="s">
        <v>124</v>
      </c>
      <c r="E12" s="87">
        <v>18</v>
      </c>
      <c r="F12" s="88">
        <f>IF(E12="-",0,IFERROR(IFERROR(VLOOKUP(E12,Атлет!$B$5:$I$104,8,FALSE),(IF(E12&lt;1,0,IF(INT(E12)&gt;=25,100,"Введите целое число")))),"Введите целое число или '-'"))</f>
        <v>72</v>
      </c>
      <c r="G12" s="89">
        <v>2.27</v>
      </c>
      <c r="H12" s="90">
        <f t="array" ref="H12">IF(G12=0,0,IF(MIN(IF(Атлет!$C$5:$C$104&gt;=G12,Атлет!$C$5:$C$104))=0,0,VLOOKUP(MIN(IF(Атлет!$C$5:$C$104&gt;=G12,Атлет!$C$5:$C$104)),Атлет!$C$5:$I$104,7)))</f>
        <v>93</v>
      </c>
      <c r="I12" s="91">
        <v>8</v>
      </c>
      <c r="J12" s="92">
        <f>IF(I12="-",0,IFERROR(IFERROR(VLOOKUP(I12,Атлет!$D$5:$I$104,6,FALSE),(IF(I12&lt;1,0,IF(INT(I12)&gt;=40,100,"Введите целое число")))),"Введите целое число или '-'"))</f>
        <v>16</v>
      </c>
      <c r="K12" s="93">
        <v>8</v>
      </c>
      <c r="L12" s="90">
        <f>IF(K12="-",0,IFERROR(IFERROR(VLOOKUP(K12,Атлет!$E$5:$I$104,5,FALSE),(IF(K12&lt;1,0,IF(INT(K12)&gt;=30,100,"Введите целое число")))),"Введите целое число или '-'"))</f>
        <v>36</v>
      </c>
      <c r="M12" s="94">
        <v>8</v>
      </c>
      <c r="N12" s="92">
        <f>IF(M12="-",0,IFERROR(IFERROR(VLOOKUP(M12,Атлет!$F$5:$I$104,4,FALSE),(IF(M12&lt;1,0,IF(INT(M12)&gt;=90,100,"Введите целое число")))),"Введите целое число или '-'"))</f>
        <v>8</v>
      </c>
      <c r="O12" s="93">
        <v>8</v>
      </c>
      <c r="P12" s="90">
        <f>IF(O12="-",0,IFERROR(IFERROR(VLOOKUP(O12,Атлет!$G$5:$I$104,3,FALSE),(IF(O12&lt;1,0,IF(INT(O12)&gt;=100,100,"Введите целое число")))),"Введите целое число или '-'"))</f>
        <v>8</v>
      </c>
      <c r="Q12" s="95">
        <v>36.1</v>
      </c>
      <c r="R12" s="88">
        <f t="array" ref="R12">IF(Q12=0,0,IF(MIN(IF(Атлет!$H$5:$H$104&gt;=Q12,Атлет!$H$5:$H$104))=0,0,VLOOKUP(MIN(IF(Атлет!$H$5:$H$104&gt;=Q12,Атлет!$H$5:$H$104)),Атлет!$H$5:$I$104,2)))</f>
        <v>93</v>
      </c>
      <c r="S12" s="96">
        <f t="shared" si="0"/>
        <v>326</v>
      </c>
      <c r="T12" s="97">
        <f t="shared" si="1"/>
        <v>50</v>
      </c>
    </row>
    <row r="13" spans="1:20" ht="20.100000000000001" customHeight="1" x14ac:dyDescent="0.2">
      <c r="A13" s="84">
        <v>9</v>
      </c>
      <c r="B13" s="98">
        <v>9</v>
      </c>
      <c r="C13" s="99" t="s">
        <v>96</v>
      </c>
      <c r="D13" s="102" t="s">
        <v>124</v>
      </c>
      <c r="E13" s="87">
        <v>1</v>
      </c>
      <c r="F13" s="88">
        <f>IF(E13="-",0,IFERROR(IFERROR(VLOOKUP(E13,Атлет!$B$5:$I$104,8,FALSE),(IF(E13&lt;1,0,IF(INT(E13)&gt;=25,100,"Введите целое число")))),"Введите целое число или '-'"))</f>
        <v>4</v>
      </c>
      <c r="G13" s="89">
        <v>2.2799999999999998</v>
      </c>
      <c r="H13" s="90">
        <f t="array" ref="H13">IF(G13=0,0,IF(MIN(IF(Атлет!$C$5:$C$104&gt;=G13,Атлет!$C$5:$C$104))=0,0,VLOOKUP(MIN(IF(Атлет!$C$5:$C$104&gt;=G13,Атлет!$C$5:$C$104)),Атлет!$C$5:$I$104,7)))</f>
        <v>92</v>
      </c>
      <c r="I13" s="91">
        <v>9</v>
      </c>
      <c r="J13" s="92">
        <f>IF(I13="-",0,IFERROR(IFERROR(VLOOKUP(I13,Атлет!$D$5:$I$104,6,FALSE),(IF(I13&lt;1,0,IF(INT(I13)&gt;=40,100,"Введите целое число")))),"Введите целое число или '-'"))</f>
        <v>18</v>
      </c>
      <c r="K13" s="93">
        <v>9</v>
      </c>
      <c r="L13" s="90">
        <f>IF(K13="-",0,IFERROR(IFERROR(VLOOKUP(K13,Атлет!$E$5:$I$104,5,FALSE),(IF(K13&lt;1,0,IF(INT(K13)&gt;=30,100,"Введите целое число")))),"Введите целое число или '-'"))</f>
        <v>40</v>
      </c>
      <c r="M13" s="94">
        <v>9</v>
      </c>
      <c r="N13" s="92">
        <f>IF(M13="-",0,IFERROR(IFERROR(VLOOKUP(M13,Атлет!$F$5:$I$104,4,FALSE),(IF(M13&lt;1,0,IF(INT(M13)&gt;=90,100,"Введите целое число")))),"Введите целое число или '-'"))</f>
        <v>9</v>
      </c>
      <c r="O13" s="93">
        <v>9</v>
      </c>
      <c r="P13" s="90">
        <f>IF(O13="-",0,IFERROR(IFERROR(VLOOKUP(O13,Атлет!$G$5:$I$104,3,FALSE),(IF(O13&lt;1,0,IF(INT(O13)&gt;=100,100,"Введите целое число")))),"Введите целое число или '-'"))</f>
        <v>9</v>
      </c>
      <c r="Q13" s="95">
        <v>36.200000000000003</v>
      </c>
      <c r="R13" s="88">
        <f t="array" ref="R13">IF(Q13=0,0,IF(MIN(IF(Атлет!$H$5:$H$104&gt;=Q13,Атлет!$H$5:$H$104))=0,0,VLOOKUP(MIN(IF(Атлет!$H$5:$H$104&gt;=Q13,Атлет!$H$5:$H$104)),Атлет!$H$5:$I$104,2)))</f>
        <v>92</v>
      </c>
      <c r="S13" s="96">
        <f t="shared" si="0"/>
        <v>264</v>
      </c>
      <c r="T13" s="97">
        <f t="shared" si="1"/>
        <v>90</v>
      </c>
    </row>
    <row r="14" spans="1:20" ht="20.100000000000001" customHeight="1" x14ac:dyDescent="0.2">
      <c r="A14" s="84">
        <v>10</v>
      </c>
      <c r="B14" s="98">
        <v>10</v>
      </c>
      <c r="C14" s="99" t="s">
        <v>84</v>
      </c>
      <c r="D14" s="102" t="s">
        <v>124</v>
      </c>
      <c r="E14" s="87">
        <v>2</v>
      </c>
      <c r="F14" s="88">
        <f>IF(E14="-",0,IFERROR(IFERROR(VLOOKUP(E14,Атлет!$B$5:$I$104,8,FALSE),(IF(E14&lt;1,0,IF(INT(E14)&gt;=25,100,"Введите целое число")))),"Введите целое число или '-'"))</f>
        <v>8</v>
      </c>
      <c r="G14" s="89">
        <v>2.29</v>
      </c>
      <c r="H14" s="90">
        <f t="array" ref="H14">IF(G14=0,0,IF(MIN(IF(Атлет!$C$5:$C$104&gt;=G14,Атлет!$C$5:$C$104))=0,0,VLOOKUP(MIN(IF(Атлет!$C$5:$C$104&gt;=G14,Атлет!$C$5:$C$104)),Атлет!$C$5:$I$104,7)))</f>
        <v>91</v>
      </c>
      <c r="I14" s="91">
        <v>10</v>
      </c>
      <c r="J14" s="92">
        <f>IF(I14="-",0,IFERROR(IFERROR(VLOOKUP(I14,Атлет!$D$5:$I$104,6,FALSE),(IF(I14&lt;1,0,IF(INT(I14)&gt;=40,100,"Введите целое число")))),"Введите целое число или '-'"))</f>
        <v>20</v>
      </c>
      <c r="K14" s="93">
        <v>10</v>
      </c>
      <c r="L14" s="90">
        <f>IF(K14="-",0,IFERROR(IFERROR(VLOOKUP(K14,Атлет!$E$5:$I$104,5,FALSE),(IF(K14&lt;1,0,IF(INT(K14)&gt;=30,100,"Введите целое число")))),"Введите целое число или '-'"))</f>
        <v>44</v>
      </c>
      <c r="M14" s="87">
        <v>10</v>
      </c>
      <c r="N14" s="92">
        <f>IF(M14="-",0,IFERROR(IFERROR(VLOOKUP(M14,Атлет!$F$5:$I$104,4,FALSE),(IF(M14&lt;1,0,IF(INT(M14)&gt;=90,100,"Введите целое число")))),"Введите целое число или '-'"))</f>
        <v>10</v>
      </c>
      <c r="O14" s="93">
        <v>10</v>
      </c>
      <c r="P14" s="90">
        <f>IF(O14="-",0,IFERROR(IFERROR(VLOOKUP(O14,Атлет!$G$5:$I$104,3,FALSE),(IF(O14&lt;1,0,IF(INT(O14)&gt;=100,100,"Введите целое число")))),"Введите целое число или '-'"))</f>
        <v>10</v>
      </c>
      <c r="Q14" s="95">
        <v>36.299999999999997</v>
      </c>
      <c r="R14" s="88">
        <f t="array" ref="R14">IF(Q14=0,0,IF(MIN(IF(Атлет!$H$5:$H$104&gt;=Q14,Атлет!$H$5:$H$104))=0,0,VLOOKUP(MIN(IF(Атлет!$H$5:$H$104&gt;=Q14,Атлет!$H$5:$H$104)),Атлет!$H$5:$I$104,2)))</f>
        <v>91</v>
      </c>
      <c r="S14" s="96">
        <f t="shared" si="0"/>
        <v>274</v>
      </c>
      <c r="T14" s="97">
        <f t="shared" si="1"/>
        <v>81</v>
      </c>
    </row>
    <row r="15" spans="1:20" ht="20.100000000000001" customHeight="1" x14ac:dyDescent="0.3">
      <c r="A15" s="84">
        <v>11</v>
      </c>
      <c r="B15" s="9">
        <v>11</v>
      </c>
      <c r="C15" s="100" t="s">
        <v>75</v>
      </c>
      <c r="D15" s="102" t="s">
        <v>124</v>
      </c>
      <c r="E15" s="87">
        <v>3</v>
      </c>
      <c r="F15" s="88">
        <f>IF(E15="-",0,IFERROR(IFERROR(VLOOKUP(E15,Атлет!$B$5:$I$104,8,FALSE),(IF(E15&lt;1,0,IF(INT(E15)&gt;=25,100,"Введите целое число")))),"Введите целое число или '-'"))</f>
        <v>12</v>
      </c>
      <c r="G15" s="89">
        <v>2.2999999999999998</v>
      </c>
      <c r="H15" s="90">
        <f t="array" ref="H15">IF(G15=0,0,IF(MIN(IF(Атлет!$C$5:$C$104&gt;=G15,Атлет!$C$5:$C$104))=0,0,VLOOKUP(MIN(IF(Атлет!$C$5:$C$104&gt;=G15,Атлет!$C$5:$C$104)),Атлет!$C$5:$I$104,7)))</f>
        <v>90</v>
      </c>
      <c r="I15" s="91">
        <v>11</v>
      </c>
      <c r="J15" s="92">
        <f>IF(I15="-",0,IFERROR(IFERROR(VLOOKUP(I15,Атлет!$D$5:$I$104,6,FALSE),(IF(I15&lt;1,0,IF(INT(I15)&gt;=40,100,"Введите целое число")))),"Введите целое число или '-'"))</f>
        <v>22</v>
      </c>
      <c r="K15" s="93">
        <v>11</v>
      </c>
      <c r="L15" s="90">
        <f>IF(K15="-",0,IFERROR(IFERROR(VLOOKUP(K15,Атлет!$E$5:$I$104,5,FALSE),(IF(K15&lt;1,0,IF(INT(K15)&gt;=30,100,"Введите целое число")))),"Введите целое число или '-'"))</f>
        <v>48</v>
      </c>
      <c r="M15" s="94">
        <v>11</v>
      </c>
      <c r="N15" s="92">
        <f>IF(M15="-",0,IFERROR(IFERROR(VLOOKUP(M15,Атлет!$F$5:$I$104,4,FALSE),(IF(M15&lt;1,0,IF(INT(M15)&gt;=90,100,"Введите целое число")))),"Введите целое число или '-'"))</f>
        <v>11</v>
      </c>
      <c r="O15" s="93">
        <v>11</v>
      </c>
      <c r="P15" s="90">
        <f>IF(O15="-",0,IFERROR(IFERROR(VLOOKUP(O15,Атлет!$G$5:$I$104,3,FALSE),(IF(O15&lt;1,0,IF(INT(O15)&gt;=100,100,"Введите целое число")))),"Введите целое число или '-'"))</f>
        <v>11</v>
      </c>
      <c r="Q15" s="95">
        <v>36.4</v>
      </c>
      <c r="R15" s="88">
        <f t="array" ref="R15">IF(Q15=0,0,IF(MIN(IF(Атлет!$H$5:$H$104&gt;=Q15,Атлет!$H$5:$H$104))=0,0,VLOOKUP(MIN(IF(Атлет!$H$5:$H$104&gt;=Q15,Атлет!$H$5:$H$104)),Атлет!$H$5:$I$104,2)))</f>
        <v>90</v>
      </c>
      <c r="S15" s="96">
        <f t="shared" si="0"/>
        <v>284</v>
      </c>
      <c r="T15" s="97">
        <f t="shared" si="1"/>
        <v>70</v>
      </c>
    </row>
    <row r="16" spans="1:20" ht="20.100000000000001" customHeight="1" x14ac:dyDescent="0.2">
      <c r="A16" s="84">
        <v>12</v>
      </c>
      <c r="B16" s="98">
        <v>12</v>
      </c>
      <c r="C16" s="85" t="s">
        <v>51</v>
      </c>
      <c r="D16" s="102"/>
      <c r="E16" s="87">
        <v>4</v>
      </c>
      <c r="F16" s="88">
        <f>IF(E16="-",0,IFERROR(IFERROR(VLOOKUP(E16,Атлет!$B$5:$I$104,8,FALSE),(IF(E16&lt;1,0,IF(INT(E16)&gt;=25,100,"Введите целое число")))),"Введите целое число или '-'"))</f>
        <v>16</v>
      </c>
      <c r="G16" s="89">
        <v>2.31</v>
      </c>
      <c r="H16" s="90">
        <f t="array" ref="H16">IF(G16=0,0,IF(MIN(IF(Атлет!$C$5:$C$104&gt;=G16,Атлет!$C$5:$C$104))=0,0,VLOOKUP(MIN(IF(Атлет!$C$5:$C$104&gt;=G16,Атлет!$C$5:$C$104)),Атлет!$C$5:$I$104,7)))</f>
        <v>89</v>
      </c>
      <c r="I16" s="91">
        <v>12</v>
      </c>
      <c r="J16" s="92">
        <f>IF(I16="-",0,IFERROR(IFERROR(VLOOKUP(I16,Атлет!$D$5:$I$104,6,FALSE),(IF(I16&lt;1,0,IF(INT(I16)&gt;=40,100,"Введите целое число")))),"Введите целое число или '-'"))</f>
        <v>24</v>
      </c>
      <c r="K16" s="93">
        <v>12</v>
      </c>
      <c r="L16" s="90">
        <f>IF(K16="-",0,IFERROR(IFERROR(VLOOKUP(K16,Атлет!$E$5:$I$104,5,FALSE),(IF(K16&lt;1,0,IF(INT(K16)&gt;=30,100,"Введите целое число")))),"Введите целое число или '-'"))</f>
        <v>52</v>
      </c>
      <c r="M16" s="94">
        <v>12</v>
      </c>
      <c r="N16" s="92">
        <f>IF(M16="-",0,IFERROR(IFERROR(VLOOKUP(M16,Атлет!$F$5:$I$104,4,FALSE),(IF(M16&lt;1,0,IF(INT(M16)&gt;=90,100,"Введите целое число")))),"Введите целое число или '-'"))</f>
        <v>12</v>
      </c>
      <c r="O16" s="93">
        <v>12</v>
      </c>
      <c r="P16" s="90">
        <f>IF(O16="-",0,IFERROR(IFERROR(VLOOKUP(O16,Атлет!$G$5:$I$104,3,FALSE),(IF(O16&lt;1,0,IF(INT(O16)&gt;=100,100,"Введите целое число")))),"Введите целое число или '-'"))</f>
        <v>12</v>
      </c>
      <c r="Q16" s="95">
        <v>36.5</v>
      </c>
      <c r="R16" s="88">
        <f t="array" ref="R16">IF(Q16=0,0,IF(MIN(IF(Атлет!$H$5:$H$104&gt;=Q16,Атлет!$H$5:$H$104))=0,0,VLOOKUP(MIN(IF(Атлет!$H$5:$H$104&gt;=Q16,Атлет!$H$5:$H$104)),Атлет!$H$5:$I$104,2)))</f>
        <v>89</v>
      </c>
      <c r="S16" s="96">
        <f t="shared" si="0"/>
        <v>294</v>
      </c>
      <c r="T16" s="97">
        <f t="shared" si="1"/>
        <v>64</v>
      </c>
    </row>
    <row r="17" spans="1:20" ht="20.100000000000001" customHeight="1" x14ac:dyDescent="0.2">
      <c r="A17" s="84">
        <v>13</v>
      </c>
      <c r="B17" s="98">
        <v>13</v>
      </c>
      <c r="C17" s="85" t="s">
        <v>48</v>
      </c>
      <c r="D17" s="101"/>
      <c r="E17" s="87">
        <v>5</v>
      </c>
      <c r="F17" s="88">
        <f>IF(E17="-",0,IFERROR(IFERROR(VLOOKUP(E17,Атлет!$B$5:$I$104,8,FALSE),(IF(E17&lt;1,0,IF(INT(E17)&gt;=25,100,"Введите целое число")))),"Введите целое число или '-'"))</f>
        <v>20</v>
      </c>
      <c r="G17" s="89">
        <v>2.3199999999999998</v>
      </c>
      <c r="H17" s="90">
        <f t="array" ref="H17">IF(G17=0,0,IF(MIN(IF(Атлет!$C$5:$C$104&gt;=G17,Атлет!$C$5:$C$104))=0,0,VLOOKUP(MIN(IF(Атлет!$C$5:$C$104&gt;=G17,Атлет!$C$5:$C$104)),Атлет!$C$5:$I$104,7)))</f>
        <v>88</v>
      </c>
      <c r="I17" s="91">
        <v>13</v>
      </c>
      <c r="J17" s="92">
        <f>IF(I17="-",0,IFERROR(IFERROR(VLOOKUP(I17,Атлет!$D$5:$I$104,6,FALSE),(IF(I17&lt;1,0,IF(INT(I17)&gt;=40,100,"Введите целое число")))),"Введите целое число или '-'"))</f>
        <v>26</v>
      </c>
      <c r="K17" s="93">
        <v>13</v>
      </c>
      <c r="L17" s="90">
        <f>IF(K17="-",0,IFERROR(IFERROR(VLOOKUP(K17,Атлет!$E$5:$I$104,5,FALSE),(IF(K17&lt;1,0,IF(INT(K17)&gt;=30,100,"Введите целое число")))),"Введите целое число или '-'"))</f>
        <v>56</v>
      </c>
      <c r="M17" s="87">
        <v>13</v>
      </c>
      <c r="N17" s="92">
        <f>IF(M17="-",0,IFERROR(IFERROR(VLOOKUP(M17,Атлет!$F$5:$I$104,4,FALSE),(IF(M17&lt;1,0,IF(INT(M17)&gt;=90,100,"Введите целое число")))),"Введите целое число или '-'"))</f>
        <v>13</v>
      </c>
      <c r="O17" s="93">
        <v>13</v>
      </c>
      <c r="P17" s="90">
        <f>IF(O17="-",0,IFERROR(IFERROR(VLOOKUP(O17,Атлет!$G$5:$I$104,3,FALSE),(IF(O17&lt;1,0,IF(INT(O17)&gt;=100,100,"Введите целое число")))),"Введите целое число или '-'"))</f>
        <v>13</v>
      </c>
      <c r="Q17" s="95">
        <v>37</v>
      </c>
      <c r="R17" s="88">
        <f t="array" ref="R17">IF(Q17=0,0,IF(MIN(IF(Атлет!$H$5:$H$104&gt;=Q17,Атлет!$H$5:$H$104))=0,0,VLOOKUP(MIN(IF(Атлет!$H$5:$H$104&gt;=Q17,Атлет!$H$5:$H$104)),Атлет!$H$5:$I$104,2)))</f>
        <v>88</v>
      </c>
      <c r="S17" s="96">
        <f t="shared" si="0"/>
        <v>304</v>
      </c>
      <c r="T17" s="97">
        <f t="shared" si="1"/>
        <v>56</v>
      </c>
    </row>
    <row r="18" spans="1:20" ht="20.100000000000001" customHeight="1" x14ac:dyDescent="0.2">
      <c r="A18" s="84">
        <v>14</v>
      </c>
      <c r="B18" s="9">
        <v>14</v>
      </c>
      <c r="C18" s="85" t="s">
        <v>38</v>
      </c>
      <c r="D18" s="101"/>
      <c r="E18" s="87">
        <v>6</v>
      </c>
      <c r="F18" s="88">
        <f>IF(E18="-",0,IFERROR(IFERROR(VLOOKUP(E18,Атлет!$B$5:$I$104,8,FALSE),(IF(E18&lt;1,0,IF(INT(E18)&gt;=25,100,"Введите целое число")))),"Введите целое число или '-'"))</f>
        <v>24</v>
      </c>
      <c r="G18" s="89">
        <v>2.33</v>
      </c>
      <c r="H18" s="90">
        <f t="array" ref="H18">IF(G18=0,0,IF(MIN(IF(Атлет!$C$5:$C$104&gt;=G18,Атлет!$C$5:$C$104))=0,0,VLOOKUP(MIN(IF(Атлет!$C$5:$C$104&gt;=G18,Атлет!$C$5:$C$104)),Атлет!$C$5:$I$104,7)))</f>
        <v>87</v>
      </c>
      <c r="I18" s="91">
        <v>14</v>
      </c>
      <c r="J18" s="92">
        <f>IF(I18="-",0,IFERROR(IFERROR(VLOOKUP(I18,Атлет!$D$5:$I$104,6,FALSE),(IF(I18&lt;1,0,IF(INT(I18)&gt;=40,100,"Введите целое число")))),"Введите целое число или '-'"))</f>
        <v>28</v>
      </c>
      <c r="K18" s="93">
        <v>14</v>
      </c>
      <c r="L18" s="90">
        <f>IF(K18="-",0,IFERROR(IFERROR(VLOOKUP(K18,Атлет!$E$5:$I$104,5,FALSE),(IF(K18&lt;1,0,IF(INT(K18)&gt;=30,100,"Введите целое число")))),"Введите целое число или '-'"))</f>
        <v>60</v>
      </c>
      <c r="M18" s="94">
        <v>14</v>
      </c>
      <c r="N18" s="92">
        <f>IF(M18="-",0,IFERROR(IFERROR(VLOOKUP(M18,Атлет!$F$5:$I$104,4,FALSE),(IF(M18&lt;1,0,IF(INT(M18)&gt;=90,100,"Введите целое число")))),"Введите целое число или '-'"))</f>
        <v>14</v>
      </c>
      <c r="O18" s="93">
        <v>14</v>
      </c>
      <c r="P18" s="90">
        <f>IF(O18="-",0,IFERROR(IFERROR(VLOOKUP(O18,Атлет!$G$5:$I$104,3,FALSE),(IF(O18&lt;1,0,IF(INT(O18)&gt;=100,100,"Введите целое число")))),"Введите целое число или '-'"))</f>
        <v>14</v>
      </c>
      <c r="Q18" s="95">
        <v>37.1</v>
      </c>
      <c r="R18" s="88">
        <f t="array" ref="R18">IF(Q18=0,0,IF(MIN(IF(Атлет!$H$5:$H$104&gt;=Q18,Атлет!$H$5:$H$104))=0,0,VLOOKUP(MIN(IF(Атлет!$H$5:$H$104&gt;=Q18,Атлет!$H$5:$H$104)),Атлет!$H$5:$I$104,2)))</f>
        <v>87</v>
      </c>
      <c r="S18" s="96">
        <f t="shared" si="0"/>
        <v>314</v>
      </c>
      <c r="T18" s="97">
        <f t="shared" si="1"/>
        <v>54</v>
      </c>
    </row>
    <row r="19" spans="1:20" ht="20.100000000000001" customHeight="1" x14ac:dyDescent="0.2">
      <c r="A19" s="84">
        <v>15</v>
      </c>
      <c r="B19" s="98">
        <v>15</v>
      </c>
      <c r="C19" s="85" t="s">
        <v>41</v>
      </c>
      <c r="D19" s="86" t="s">
        <v>121</v>
      </c>
      <c r="E19" s="87">
        <v>7</v>
      </c>
      <c r="F19" s="88">
        <f>IF(E19="-",0,IFERROR(IFERROR(VLOOKUP(E19,Атлет!$B$5:$I$104,8,FALSE),(IF(E19&lt;1,0,IF(INT(E19)&gt;=25,100,"Введите целое число")))),"Введите целое число или '-'"))</f>
        <v>28</v>
      </c>
      <c r="G19" s="89">
        <v>2.34</v>
      </c>
      <c r="H19" s="90">
        <f t="array" ref="H19">IF(G19=0,0,IF(MIN(IF(Атлет!$C$5:$C$104&gt;=G19,Атлет!$C$5:$C$104))=0,0,VLOOKUP(MIN(IF(Атлет!$C$5:$C$104&gt;=G19,Атлет!$C$5:$C$104)),Атлет!$C$5:$I$104,7)))</f>
        <v>86</v>
      </c>
      <c r="I19" s="91">
        <v>15</v>
      </c>
      <c r="J19" s="92">
        <f>IF(I19="-",0,IFERROR(IFERROR(VLOOKUP(I19,Атлет!$D$5:$I$104,6,FALSE),(IF(I19&lt;1,0,IF(INT(I19)&gt;=40,100,"Введите целое число")))),"Введите целое число или '-'"))</f>
        <v>30</v>
      </c>
      <c r="K19" s="93">
        <v>15</v>
      </c>
      <c r="L19" s="90">
        <f>IF(K19="-",0,IFERROR(IFERROR(VLOOKUP(K19,Атлет!$E$5:$I$104,5,FALSE),(IF(K19&lt;1,0,IF(INT(K19)&gt;=30,100,"Введите целое число")))),"Введите целое число или '-'"))</f>
        <v>64</v>
      </c>
      <c r="M19" s="94">
        <v>15</v>
      </c>
      <c r="N19" s="92">
        <f>IF(M19="-",0,IFERROR(IFERROR(VLOOKUP(M19,Атлет!$F$5:$I$104,4,FALSE),(IF(M19&lt;1,0,IF(INT(M19)&gt;=90,100,"Введите целое число")))),"Введите целое число или '-'"))</f>
        <v>15</v>
      </c>
      <c r="O19" s="93">
        <v>15</v>
      </c>
      <c r="P19" s="90">
        <f>IF(O19="-",0,IFERROR(IFERROR(VLOOKUP(O19,Атлет!$G$5:$I$104,3,FALSE),(IF(O19&lt;1,0,IF(INT(O19)&gt;=100,100,"Введите целое число")))),"Введите целое число или '-'"))</f>
        <v>15</v>
      </c>
      <c r="Q19" s="95">
        <v>37.200000000000003</v>
      </c>
      <c r="R19" s="88">
        <f t="array" ref="R19">IF(Q19=0,0,IF(MIN(IF(Атлет!$H$5:$H$104&gt;=Q19,Атлет!$H$5:$H$104))=0,0,VLOOKUP(MIN(IF(Атлет!$H$5:$H$104&gt;=Q19,Атлет!$H$5:$H$104)),Атлет!$H$5:$I$104,2)))</f>
        <v>86</v>
      </c>
      <c r="S19" s="96">
        <f t="shared" si="0"/>
        <v>324</v>
      </c>
      <c r="T19" s="97">
        <f t="shared" si="1"/>
        <v>51</v>
      </c>
    </row>
    <row r="20" spans="1:20" ht="20.100000000000001" customHeight="1" x14ac:dyDescent="0.2">
      <c r="A20" s="84">
        <v>16</v>
      </c>
      <c r="B20" s="98">
        <v>16</v>
      </c>
      <c r="C20" s="85" t="s">
        <v>35</v>
      </c>
      <c r="D20" s="86" t="s">
        <v>121</v>
      </c>
      <c r="E20" s="87">
        <v>8</v>
      </c>
      <c r="F20" s="88">
        <f>IF(E20="-",0,IFERROR(IFERROR(VLOOKUP(E20,Атлет!$B$5:$I$104,8,FALSE),(IF(E20&lt;1,0,IF(INT(E20)&gt;=25,100,"Введите целое число")))),"Введите целое число или '-'"))</f>
        <v>32</v>
      </c>
      <c r="G20" s="89">
        <v>2.35</v>
      </c>
      <c r="H20" s="90">
        <f t="array" ref="H20">IF(G20=0,0,IF(MIN(IF(Атлет!$C$5:$C$104&gt;=G20,Атлет!$C$5:$C$104))=0,0,VLOOKUP(MIN(IF(Атлет!$C$5:$C$104&gt;=G20,Атлет!$C$5:$C$104)),Атлет!$C$5:$I$104,7)))</f>
        <v>85</v>
      </c>
      <c r="I20" s="91">
        <v>16</v>
      </c>
      <c r="J20" s="92">
        <f>IF(I20="-",0,IFERROR(IFERROR(VLOOKUP(I20,Атлет!$D$5:$I$104,6,FALSE),(IF(I20&lt;1,0,IF(INT(I20)&gt;=40,100,"Введите целое число")))),"Введите целое число или '-'"))</f>
        <v>32</v>
      </c>
      <c r="K20" s="93">
        <v>16</v>
      </c>
      <c r="L20" s="90">
        <f>IF(K20="-",0,IFERROR(IFERROR(VLOOKUP(K20,Атлет!$E$5:$I$104,5,FALSE),(IF(K20&lt;1,0,IF(INT(K20)&gt;=30,100,"Введите целое число")))),"Введите целое число или '-'"))</f>
        <v>67</v>
      </c>
      <c r="M20" s="87">
        <v>16</v>
      </c>
      <c r="N20" s="92">
        <f>IF(M20="-",0,IFERROR(IFERROR(VLOOKUP(M20,Атлет!$F$5:$I$104,4,FALSE),(IF(M20&lt;1,0,IF(INT(M20)&gt;=90,100,"Введите целое число")))),"Введите целое число или '-'"))</f>
        <v>16</v>
      </c>
      <c r="O20" s="93">
        <v>16</v>
      </c>
      <c r="P20" s="90">
        <f>IF(O20="-",0,IFERROR(IFERROR(VLOOKUP(O20,Атлет!$G$5:$I$104,3,FALSE),(IF(O20&lt;1,0,IF(INT(O20)&gt;=100,100,"Введите целое число")))),"Введите целое число или '-'"))</f>
        <v>16</v>
      </c>
      <c r="Q20" s="95">
        <v>37.299999999999997</v>
      </c>
      <c r="R20" s="88">
        <f t="array" ref="R20">IF(Q20=0,0,IF(MIN(IF(Атлет!$H$5:$H$104&gt;=Q20,Атлет!$H$5:$H$104))=0,0,VLOOKUP(MIN(IF(Атлет!$H$5:$H$104&gt;=Q20,Атлет!$H$5:$H$104)),Атлет!$H$5:$I$104,2)))</f>
        <v>85</v>
      </c>
      <c r="S20" s="96">
        <f t="shared" si="0"/>
        <v>333</v>
      </c>
      <c r="T20" s="97">
        <f t="shared" si="1"/>
        <v>47</v>
      </c>
    </row>
    <row r="21" spans="1:20" ht="20.100000000000001" customHeight="1" x14ac:dyDescent="0.3">
      <c r="A21" s="84">
        <v>17</v>
      </c>
      <c r="B21" s="9">
        <v>17</v>
      </c>
      <c r="C21" s="100" t="s">
        <v>65</v>
      </c>
      <c r="D21" s="86" t="s">
        <v>121</v>
      </c>
      <c r="E21" s="87">
        <v>9</v>
      </c>
      <c r="F21" s="88">
        <f>IF(E21="-",0,IFERROR(IFERROR(VLOOKUP(E21,Атлет!$B$5:$I$104,8,FALSE),(IF(E21&lt;1,0,IF(INT(E21)&gt;=25,100,"Введите целое число")))),"Введите целое число или '-'"))</f>
        <v>36</v>
      </c>
      <c r="G21" s="89">
        <v>2.36</v>
      </c>
      <c r="H21" s="90">
        <f t="array" ref="H21">IF(G21=0,0,IF(MIN(IF(Атлет!$C$5:$C$104&gt;=G21,Атлет!$C$5:$C$104))=0,0,VLOOKUP(MIN(IF(Атлет!$C$5:$C$104&gt;=G21,Атлет!$C$5:$C$104)),Атлет!$C$5:$I$104,7)))</f>
        <v>84</v>
      </c>
      <c r="I21" s="91">
        <v>17</v>
      </c>
      <c r="J21" s="92">
        <f>IF(I21="-",0,IFERROR(IFERROR(VLOOKUP(I21,Атлет!$D$5:$I$104,6,FALSE),(IF(I21&lt;1,0,IF(INT(I21)&gt;=40,100,"Введите целое число")))),"Введите целое число или '-'"))</f>
        <v>34</v>
      </c>
      <c r="K21" s="93">
        <v>17</v>
      </c>
      <c r="L21" s="90">
        <f>IF(K21="-",0,IFERROR(IFERROR(VLOOKUP(K21,Атлет!$E$5:$I$104,5,FALSE),(IF(K21&lt;1,0,IF(INT(K21)&gt;=30,100,"Введите целое число")))),"Введите целое число или '-'"))</f>
        <v>70</v>
      </c>
      <c r="M21" s="94">
        <v>17</v>
      </c>
      <c r="N21" s="92">
        <f>IF(M21="-",0,IFERROR(IFERROR(VLOOKUP(M21,Атлет!$F$5:$I$104,4,FALSE),(IF(M21&lt;1,0,IF(INT(M21)&gt;=90,100,"Введите целое число")))),"Введите целое число или '-'"))</f>
        <v>17</v>
      </c>
      <c r="O21" s="93">
        <v>17</v>
      </c>
      <c r="P21" s="90">
        <f>IF(O21="-",0,IFERROR(IFERROR(VLOOKUP(O21,Атлет!$G$5:$I$104,3,FALSE),(IF(O21&lt;1,0,IF(INT(O21)&gt;=100,100,"Введите целое число")))),"Введите целое число или '-'"))</f>
        <v>17</v>
      </c>
      <c r="Q21" s="95">
        <v>37.4</v>
      </c>
      <c r="R21" s="88">
        <f t="array" ref="R21">IF(Q21=0,0,IF(MIN(IF(Атлет!$H$5:$H$104&gt;=Q21,Атлет!$H$5:$H$104))=0,0,VLOOKUP(MIN(IF(Атлет!$H$5:$H$104&gt;=Q21,Атлет!$H$5:$H$104)),Атлет!$H$5:$I$104,2)))</f>
        <v>84</v>
      </c>
      <c r="S21" s="96">
        <f t="shared" si="0"/>
        <v>342</v>
      </c>
      <c r="T21" s="97">
        <f t="shared" si="1"/>
        <v>45</v>
      </c>
    </row>
    <row r="22" spans="1:20" ht="20.100000000000001" customHeight="1" x14ac:dyDescent="0.3">
      <c r="A22" s="84">
        <v>18</v>
      </c>
      <c r="B22" s="98">
        <v>18</v>
      </c>
      <c r="C22" s="100" t="s">
        <v>72</v>
      </c>
      <c r="D22" s="101"/>
      <c r="E22" s="87">
        <v>10</v>
      </c>
      <c r="F22" s="88">
        <f>IF(E22="-",0,IFERROR(IFERROR(VLOOKUP(E22,Атлет!$B$5:$I$104,8,FALSE),(IF(E22&lt;1,0,IF(INT(E22)&gt;=25,100,"Введите целое число")))),"Введите целое число или '-'"))</f>
        <v>40</v>
      </c>
      <c r="G22" s="89">
        <v>2.38</v>
      </c>
      <c r="H22" s="90">
        <f t="array" ref="H22">IF(G22=0,0,IF(MIN(IF(Атлет!$C$5:$C$104&gt;=G22,Атлет!$C$5:$C$104))=0,0,VLOOKUP(MIN(IF(Атлет!$C$5:$C$104&gt;=G22,Атлет!$C$5:$C$104)),Атлет!$C$5:$I$104,7)))</f>
        <v>83</v>
      </c>
      <c r="I22" s="91">
        <v>18</v>
      </c>
      <c r="J22" s="92">
        <f>IF(I22="-",0,IFERROR(IFERROR(VLOOKUP(I22,Атлет!$D$5:$I$104,6,FALSE),(IF(I22&lt;1,0,IF(INT(I22)&gt;=40,100,"Введите целое число")))),"Введите целое число или '-'"))</f>
        <v>36</v>
      </c>
      <c r="K22" s="93">
        <v>18</v>
      </c>
      <c r="L22" s="90">
        <f>IF(K22="-",0,IFERROR(IFERROR(VLOOKUP(K22,Атлет!$E$5:$I$104,5,FALSE),(IF(K22&lt;1,0,IF(INT(K22)&gt;=30,100,"Введите целое число")))),"Введите целое число или '-'"))</f>
        <v>73</v>
      </c>
      <c r="M22" s="94">
        <v>18</v>
      </c>
      <c r="N22" s="92">
        <f>IF(M22="-",0,IFERROR(IFERROR(VLOOKUP(M22,Атлет!$F$5:$I$104,4,FALSE),(IF(M22&lt;1,0,IF(INT(M22)&gt;=90,100,"Введите целое число")))),"Введите целое число или '-'"))</f>
        <v>18</v>
      </c>
      <c r="O22" s="93">
        <v>18</v>
      </c>
      <c r="P22" s="90">
        <f>IF(O22="-",0,IFERROR(IFERROR(VLOOKUP(O22,Атлет!$G$5:$I$104,3,FALSE),(IF(O22&lt;1,0,IF(INT(O22)&gt;=100,100,"Введите целое число")))),"Введите целое число или '-'"))</f>
        <v>18</v>
      </c>
      <c r="Q22" s="95">
        <v>37.5</v>
      </c>
      <c r="R22" s="88">
        <f t="array" ref="R22">IF(Q22=0,0,IF(MIN(IF(Атлет!$H$5:$H$104&gt;=Q22,Атлет!$H$5:$H$104))=0,0,VLOOKUP(MIN(IF(Атлет!$H$5:$H$104&gt;=Q22,Атлет!$H$5:$H$104)),Атлет!$H$5:$I$104,2)))</f>
        <v>83</v>
      </c>
      <c r="S22" s="96">
        <f t="shared" si="0"/>
        <v>351</v>
      </c>
      <c r="T22" s="97">
        <f t="shared" si="1"/>
        <v>42</v>
      </c>
    </row>
    <row r="23" spans="1:20" ht="20.100000000000001" customHeight="1" x14ac:dyDescent="0.2">
      <c r="A23" s="84">
        <v>19</v>
      </c>
      <c r="B23" s="98">
        <v>19</v>
      </c>
      <c r="C23" s="85" t="s">
        <v>42</v>
      </c>
      <c r="D23" s="101"/>
      <c r="E23" s="87">
        <v>11</v>
      </c>
      <c r="F23" s="88">
        <f>IF(E23="-",0,IFERROR(IFERROR(VLOOKUP(E23,Атлет!$B$5:$I$104,8,FALSE),(IF(E23&lt;1,0,IF(INT(E23)&gt;=25,100,"Введите целое число")))),"Введите целое число или '-'"))</f>
        <v>44</v>
      </c>
      <c r="G23" s="89">
        <v>2.4</v>
      </c>
      <c r="H23" s="90">
        <f t="array" ref="H23">IF(G23=0,0,IF(MIN(IF(Атлет!$C$5:$C$104&gt;=G23,Атлет!$C$5:$C$104))=0,0,VLOOKUP(MIN(IF(Атлет!$C$5:$C$104&gt;=G23,Атлет!$C$5:$C$104)),Атлет!$C$5:$I$104,7)))</f>
        <v>82</v>
      </c>
      <c r="I23" s="91">
        <v>19</v>
      </c>
      <c r="J23" s="92">
        <f>IF(I23="-",0,IFERROR(IFERROR(VLOOKUP(I23,Атлет!$D$5:$I$104,6,FALSE),(IF(I23&lt;1,0,IF(INT(I23)&gt;=40,100,"Введите целое число")))),"Введите целое число или '-'"))</f>
        <v>38</v>
      </c>
      <c r="K23" s="93">
        <v>19</v>
      </c>
      <c r="L23" s="90">
        <f>IF(K23="-",0,IFERROR(IFERROR(VLOOKUP(K23,Атлет!$E$5:$I$104,5,FALSE),(IF(K23&lt;1,0,IF(INT(K23)&gt;=30,100,"Введите целое число")))),"Введите целое число или '-'"))</f>
        <v>76</v>
      </c>
      <c r="M23" s="87">
        <v>19</v>
      </c>
      <c r="N23" s="92">
        <f>IF(M23="-",0,IFERROR(IFERROR(VLOOKUP(M23,Атлет!$F$5:$I$104,4,FALSE),(IF(M23&lt;1,0,IF(INT(M23)&gt;=90,100,"Введите целое число")))),"Введите целое число или '-'"))</f>
        <v>19</v>
      </c>
      <c r="O23" s="93">
        <v>19</v>
      </c>
      <c r="P23" s="90">
        <f>IF(O23="-",0,IFERROR(IFERROR(VLOOKUP(O23,Атлет!$G$5:$I$104,3,FALSE),(IF(O23&lt;1,0,IF(INT(O23)&gt;=100,100,"Введите целое число")))),"Введите целое число или '-'"))</f>
        <v>19</v>
      </c>
      <c r="Q23" s="95">
        <v>38</v>
      </c>
      <c r="R23" s="88">
        <f t="array" ref="R23">IF(Q23=0,0,IF(MIN(IF(Атлет!$H$5:$H$104&gt;=Q23,Атлет!$H$5:$H$104))=0,0,VLOOKUP(MIN(IF(Атлет!$H$5:$H$104&gt;=Q23,Атлет!$H$5:$H$104)),Атлет!$H$5:$I$104,2)))</f>
        <v>82</v>
      </c>
      <c r="S23" s="96">
        <f t="shared" si="0"/>
        <v>360</v>
      </c>
      <c r="T23" s="97">
        <f t="shared" si="1"/>
        <v>40</v>
      </c>
    </row>
    <row r="24" spans="1:20" ht="20.100000000000001" customHeight="1" x14ac:dyDescent="0.3">
      <c r="A24" s="84">
        <v>20</v>
      </c>
      <c r="B24" s="9">
        <v>20</v>
      </c>
      <c r="C24" s="100" t="s">
        <v>69</v>
      </c>
      <c r="D24" s="101"/>
      <c r="E24" s="87">
        <v>12</v>
      </c>
      <c r="F24" s="88">
        <f>IF(E24="-",0,IFERROR(IFERROR(VLOOKUP(E24,Атлет!$B$5:$I$104,8,FALSE),(IF(E24&lt;1,0,IF(INT(E24)&gt;=25,100,"Введите целое число")))),"Введите целое число или '-'"))</f>
        <v>48</v>
      </c>
      <c r="G24" s="89">
        <v>2.42</v>
      </c>
      <c r="H24" s="90">
        <f t="array" ref="H24">IF(G24=0,0,IF(MIN(IF(Атлет!$C$5:$C$104&gt;=G24,Атлет!$C$5:$C$104))=0,0,VLOOKUP(MIN(IF(Атлет!$C$5:$C$104&gt;=G24,Атлет!$C$5:$C$104)),Атлет!$C$5:$I$104,7)))</f>
        <v>81</v>
      </c>
      <c r="I24" s="91">
        <v>20</v>
      </c>
      <c r="J24" s="92">
        <f>IF(I24="-",0,IFERROR(IFERROR(VLOOKUP(I24,Атлет!$D$5:$I$104,6,FALSE),(IF(I24&lt;1,0,IF(INT(I24)&gt;=40,100,"Введите целое число")))),"Введите целое число или '-'"))</f>
        <v>40</v>
      </c>
      <c r="K24" s="93">
        <v>20</v>
      </c>
      <c r="L24" s="90">
        <f>IF(K24="-",0,IFERROR(IFERROR(VLOOKUP(K24,Атлет!$E$5:$I$104,5,FALSE),(IF(K24&lt;1,0,IF(INT(K24)&gt;=30,100,"Введите целое число")))),"Введите целое число или '-'"))</f>
        <v>79</v>
      </c>
      <c r="M24" s="94">
        <v>20</v>
      </c>
      <c r="N24" s="92">
        <f>IF(M24="-",0,IFERROR(IFERROR(VLOOKUP(M24,Атлет!$F$5:$I$104,4,FALSE),(IF(M24&lt;1,0,IF(INT(M24)&gt;=90,100,"Введите целое число")))),"Введите целое число или '-'"))</f>
        <v>20</v>
      </c>
      <c r="O24" s="93">
        <v>20</v>
      </c>
      <c r="P24" s="90">
        <f>IF(O24="-",0,IFERROR(IFERROR(VLOOKUP(O24,Атлет!$G$5:$I$104,3,FALSE),(IF(O24&lt;1,0,IF(INT(O24)&gt;=100,100,"Введите целое число")))),"Введите целое число или '-'"))</f>
        <v>20</v>
      </c>
      <c r="Q24" s="95">
        <v>38.1</v>
      </c>
      <c r="R24" s="88">
        <f t="array" ref="R24">IF(Q24=0,0,IF(MIN(IF(Атлет!$H$5:$H$104&gt;=Q24,Атлет!$H$5:$H$104))=0,0,VLOOKUP(MIN(IF(Атлет!$H$5:$H$104&gt;=Q24,Атлет!$H$5:$H$104)),Атлет!$H$5:$I$104,2)))</f>
        <v>81</v>
      </c>
      <c r="S24" s="96">
        <f t="shared" si="0"/>
        <v>369</v>
      </c>
      <c r="T24" s="97">
        <f t="shared" si="1"/>
        <v>39</v>
      </c>
    </row>
    <row r="25" spans="1:20" ht="20.100000000000001" customHeight="1" x14ac:dyDescent="0.2">
      <c r="A25" s="84">
        <v>21</v>
      </c>
      <c r="B25" s="98">
        <v>21</v>
      </c>
      <c r="C25" s="85" t="s">
        <v>34</v>
      </c>
      <c r="D25" s="101"/>
      <c r="E25" s="87">
        <v>13</v>
      </c>
      <c r="F25" s="88">
        <f>IF(E25="-",0,IFERROR(IFERROR(VLOOKUP(E25,Атлет!$B$5:$I$104,8,FALSE),(IF(E25&lt;1,0,IF(INT(E25)&gt;=25,100,"Введите целое число")))),"Введите целое число или '-'"))</f>
        <v>52</v>
      </c>
      <c r="G25" s="89">
        <v>2.44</v>
      </c>
      <c r="H25" s="90">
        <f t="array" ref="H25">IF(G25=0,0,IF(MIN(IF(Атлет!$C$5:$C$104&gt;=G25,Атлет!$C$5:$C$104))=0,0,VLOOKUP(MIN(IF(Атлет!$C$5:$C$104&gt;=G25,Атлет!$C$5:$C$104)),Атлет!$C$5:$I$104,7)))</f>
        <v>80</v>
      </c>
      <c r="I25" s="91">
        <v>21</v>
      </c>
      <c r="J25" s="92">
        <f>IF(I25="-",0,IFERROR(IFERROR(VLOOKUP(I25,Атлет!$D$5:$I$104,6,FALSE),(IF(I25&lt;1,0,IF(INT(I25)&gt;=40,100,"Введите целое число")))),"Введите целое число или '-'"))</f>
        <v>43</v>
      </c>
      <c r="K25" s="93">
        <v>21</v>
      </c>
      <c r="L25" s="90">
        <f>IF(K25="-",0,IFERROR(IFERROR(VLOOKUP(K25,Атлет!$E$5:$I$104,5,FALSE),(IF(K25&lt;1,0,IF(INT(K25)&gt;=30,100,"Введите целое число")))),"Введите целое число или '-'"))</f>
        <v>82</v>
      </c>
      <c r="M25" s="94">
        <v>21</v>
      </c>
      <c r="N25" s="92">
        <f>IF(M25="-",0,IFERROR(IFERROR(VLOOKUP(M25,Атлет!$F$5:$I$104,4,FALSE),(IF(M25&lt;1,0,IF(INT(M25)&gt;=90,100,"Введите целое число")))),"Введите целое число или '-'"))</f>
        <v>21</v>
      </c>
      <c r="O25" s="93">
        <v>21</v>
      </c>
      <c r="P25" s="90">
        <f>IF(O25="-",0,IFERROR(IFERROR(VLOOKUP(O25,Атлет!$G$5:$I$104,3,FALSE),(IF(O25&lt;1,0,IF(INT(O25)&gt;=100,100,"Введите целое число")))),"Введите целое число или '-'"))</f>
        <v>21</v>
      </c>
      <c r="Q25" s="95">
        <v>38.200000000000003</v>
      </c>
      <c r="R25" s="88">
        <f t="array" ref="R25">IF(Q25=0,0,IF(MIN(IF(Атлет!$H$5:$H$104&gt;=Q25,Атлет!$H$5:$H$104))=0,0,VLOOKUP(MIN(IF(Атлет!$H$5:$H$104&gt;=Q25,Атлет!$H$5:$H$104)),Атлет!$H$5:$I$104,2)))</f>
        <v>80</v>
      </c>
      <c r="S25" s="96">
        <f t="shared" si="0"/>
        <v>379</v>
      </c>
      <c r="T25" s="97">
        <f t="shared" si="1"/>
        <v>37</v>
      </c>
    </row>
    <row r="26" spans="1:20" ht="20.100000000000001" customHeight="1" x14ac:dyDescent="0.3">
      <c r="A26" s="84">
        <v>22</v>
      </c>
      <c r="B26" s="98">
        <v>22</v>
      </c>
      <c r="C26" s="100" t="s">
        <v>64</v>
      </c>
      <c r="D26" s="86" t="s">
        <v>123</v>
      </c>
      <c r="E26" s="87">
        <v>14</v>
      </c>
      <c r="F26" s="88">
        <f>IF(E26="-",0,IFERROR(IFERROR(VLOOKUP(E26,Атлет!$B$5:$I$104,8,FALSE),(IF(E26&lt;1,0,IF(INT(E26)&gt;=25,100,"Введите целое число")))),"Введите целое число или '-'"))</f>
        <v>56</v>
      </c>
      <c r="G26" s="89">
        <v>2.46</v>
      </c>
      <c r="H26" s="90">
        <f t="array" ref="H26">IF(G26=0,0,IF(MIN(IF(Атлет!$C$5:$C$104&gt;=G26,Атлет!$C$5:$C$104))=0,0,VLOOKUP(MIN(IF(Атлет!$C$5:$C$104&gt;=G26,Атлет!$C$5:$C$104)),Атлет!$C$5:$I$104,7)))</f>
        <v>79</v>
      </c>
      <c r="I26" s="91">
        <v>22</v>
      </c>
      <c r="J26" s="92">
        <f>IF(I26="-",0,IFERROR(IFERROR(VLOOKUP(I26,Атлет!$D$5:$I$104,6,FALSE),(IF(I26&lt;1,0,IF(INT(I26)&gt;=40,100,"Введите целое число")))),"Введите целое число или '-'"))</f>
        <v>46</v>
      </c>
      <c r="K26" s="93">
        <v>22</v>
      </c>
      <c r="L26" s="90">
        <f>IF(K26="-",0,IFERROR(IFERROR(VLOOKUP(K26,Атлет!$E$5:$I$104,5,FALSE),(IF(K26&lt;1,0,IF(INT(K26)&gt;=30,100,"Введите целое число")))),"Введите целое число или '-'"))</f>
        <v>84</v>
      </c>
      <c r="M26" s="87">
        <v>22</v>
      </c>
      <c r="N26" s="92">
        <f>IF(M26="-",0,IFERROR(IFERROR(VLOOKUP(M26,Атлет!$F$5:$I$104,4,FALSE),(IF(M26&lt;1,0,IF(INT(M26)&gt;=90,100,"Введите целое число")))),"Введите целое число или '-'"))</f>
        <v>22</v>
      </c>
      <c r="O26" s="93">
        <v>22</v>
      </c>
      <c r="P26" s="90">
        <f>IF(O26="-",0,IFERROR(IFERROR(VLOOKUP(O26,Атлет!$G$5:$I$104,3,FALSE),(IF(O26&lt;1,0,IF(INT(O26)&gt;=100,100,"Введите целое число")))),"Введите целое число или '-'"))</f>
        <v>22</v>
      </c>
      <c r="Q26" s="95">
        <v>38.299999999999997</v>
      </c>
      <c r="R26" s="88">
        <f t="array" ref="R26">IF(Q26=0,0,IF(MIN(IF(Атлет!$H$5:$H$104&gt;=Q26,Атлет!$H$5:$H$104))=0,0,VLOOKUP(MIN(IF(Атлет!$H$5:$H$104&gt;=Q26,Атлет!$H$5:$H$104)),Атлет!$H$5:$I$104,2)))</f>
        <v>79</v>
      </c>
      <c r="S26" s="96">
        <f t="shared" si="0"/>
        <v>388</v>
      </c>
      <c r="T26" s="97">
        <f t="shared" si="1"/>
        <v>35</v>
      </c>
    </row>
    <row r="27" spans="1:20" ht="20.100000000000001" customHeight="1" x14ac:dyDescent="0.2">
      <c r="A27" s="84">
        <v>23</v>
      </c>
      <c r="B27" s="9">
        <v>23</v>
      </c>
      <c r="C27" s="85" t="s">
        <v>53</v>
      </c>
      <c r="D27" s="86" t="s">
        <v>123</v>
      </c>
      <c r="E27" s="87">
        <v>15</v>
      </c>
      <c r="F27" s="88">
        <f>IF(E27="-",0,IFERROR(IFERROR(VLOOKUP(E27,Атлет!$B$5:$I$104,8,FALSE),(IF(E27&lt;1,0,IF(INT(E27)&gt;=25,100,"Введите целое число")))),"Введите целое число или '-'"))</f>
        <v>60</v>
      </c>
      <c r="G27" s="89">
        <v>2.48</v>
      </c>
      <c r="H27" s="90">
        <f t="array" ref="H27">IF(G27=0,0,IF(MIN(IF(Атлет!$C$5:$C$104&gt;=G27,Атлет!$C$5:$C$104))=0,0,VLOOKUP(MIN(IF(Атлет!$C$5:$C$104&gt;=G27,Атлет!$C$5:$C$104)),Атлет!$C$5:$I$104,7)))</f>
        <v>78</v>
      </c>
      <c r="I27" s="91">
        <v>23</v>
      </c>
      <c r="J27" s="92">
        <f>IF(I27="-",0,IFERROR(IFERROR(VLOOKUP(I27,Атлет!$D$5:$I$104,6,FALSE),(IF(I27&lt;1,0,IF(INT(I27)&gt;=40,100,"Введите целое число")))),"Введите целое число или '-'"))</f>
        <v>49</v>
      </c>
      <c r="K27" s="93">
        <v>23</v>
      </c>
      <c r="L27" s="90">
        <f>IF(K27="-",0,IFERROR(IFERROR(VLOOKUP(K27,Атлет!$E$5:$I$104,5,FALSE),(IF(K27&lt;1,0,IF(INT(K27)&gt;=30,100,"Введите целое число")))),"Введите целое число или '-'"))</f>
        <v>86</v>
      </c>
      <c r="M27" s="94">
        <v>23</v>
      </c>
      <c r="N27" s="92">
        <f>IF(M27="-",0,IFERROR(IFERROR(VLOOKUP(M27,Атлет!$F$5:$I$104,4,FALSE),(IF(M27&lt;1,0,IF(INT(M27)&gt;=90,100,"Введите целое число")))),"Введите целое число или '-'"))</f>
        <v>23</v>
      </c>
      <c r="O27" s="93">
        <v>23</v>
      </c>
      <c r="P27" s="90">
        <f>IF(O27="-",0,IFERROR(IFERROR(VLOOKUP(O27,Атлет!$G$5:$I$104,3,FALSE),(IF(O27&lt;1,0,IF(INT(O27)&gt;=100,100,"Введите целое число")))),"Введите целое число или '-'"))</f>
        <v>23</v>
      </c>
      <c r="Q27" s="95">
        <v>38.4</v>
      </c>
      <c r="R27" s="88">
        <f t="array" ref="R27">IF(Q27=0,0,IF(MIN(IF(Атлет!$H$5:$H$104&gt;=Q27,Атлет!$H$5:$H$104))=0,0,VLOOKUP(MIN(IF(Атлет!$H$5:$H$104&gt;=Q27,Атлет!$H$5:$H$104)),Атлет!$H$5:$I$104,2)))</f>
        <v>78</v>
      </c>
      <c r="S27" s="96">
        <f t="shared" si="0"/>
        <v>397</v>
      </c>
      <c r="T27" s="97">
        <f t="shared" si="1"/>
        <v>33</v>
      </c>
    </row>
    <row r="28" spans="1:20" ht="20.100000000000001" customHeight="1" x14ac:dyDescent="0.2">
      <c r="A28" s="84">
        <v>24</v>
      </c>
      <c r="B28" s="98">
        <v>24</v>
      </c>
      <c r="C28" s="85" t="s">
        <v>33</v>
      </c>
      <c r="D28" s="86" t="s">
        <v>123</v>
      </c>
      <c r="E28" s="87">
        <v>16</v>
      </c>
      <c r="F28" s="88">
        <f>IF(E28="-",0,IFERROR(IFERROR(VLOOKUP(E28,Атлет!$B$5:$I$104,8,FALSE),(IF(E28&lt;1,0,IF(INT(E28)&gt;=25,100,"Введите целое число")))),"Введите целое число или '-'"))</f>
        <v>64</v>
      </c>
      <c r="G28" s="89">
        <v>2.5</v>
      </c>
      <c r="H28" s="90">
        <f t="array" ref="H28">IF(G28=0,0,IF(MIN(IF(Атлет!$C$5:$C$104&gt;=G28,Атлет!$C$5:$C$104))=0,0,VLOOKUP(MIN(IF(Атлет!$C$5:$C$104&gt;=G28,Атлет!$C$5:$C$104)),Атлет!$C$5:$I$104,7)))</f>
        <v>77</v>
      </c>
      <c r="I28" s="91">
        <v>24</v>
      </c>
      <c r="J28" s="92">
        <f>IF(I28="-",0,IFERROR(IFERROR(VLOOKUP(I28,Атлет!$D$5:$I$104,6,FALSE),(IF(I28&lt;1,0,IF(INT(I28)&gt;=40,100,"Введите целое число")))),"Введите целое число или '-'"))</f>
        <v>52</v>
      </c>
      <c r="K28" s="93">
        <v>24</v>
      </c>
      <c r="L28" s="90">
        <f>IF(K28="-",0,IFERROR(IFERROR(VLOOKUP(K28,Атлет!$E$5:$I$104,5,FALSE),(IF(K28&lt;1,0,IF(INT(K28)&gt;=30,100,"Введите целое число")))),"Введите целое число или '-'"))</f>
        <v>88</v>
      </c>
      <c r="M28" s="94">
        <v>24</v>
      </c>
      <c r="N28" s="92">
        <f>IF(M28="-",0,IFERROR(IFERROR(VLOOKUP(M28,Атлет!$F$5:$I$104,4,FALSE),(IF(M28&lt;1,0,IF(INT(M28)&gt;=90,100,"Введите целое число")))),"Введите целое число или '-'"))</f>
        <v>24</v>
      </c>
      <c r="O28" s="93">
        <v>24</v>
      </c>
      <c r="P28" s="90">
        <f>IF(O28="-",0,IFERROR(IFERROR(VLOOKUP(O28,Атлет!$G$5:$I$104,3,FALSE),(IF(O28&lt;1,0,IF(INT(O28)&gt;=100,100,"Введите целое число")))),"Введите целое число или '-'"))</f>
        <v>24</v>
      </c>
      <c r="Q28" s="95">
        <v>38.5</v>
      </c>
      <c r="R28" s="88">
        <f t="array" ref="R28">IF(Q28=0,0,IF(MIN(IF(Атлет!$H$5:$H$104&gt;=Q28,Атлет!$H$5:$H$104))=0,0,VLOOKUP(MIN(IF(Атлет!$H$5:$H$104&gt;=Q28,Атлет!$H$5:$H$104)),Атлет!$H$5:$I$104,2)))</f>
        <v>77</v>
      </c>
      <c r="S28" s="96">
        <f t="shared" si="0"/>
        <v>406</v>
      </c>
      <c r="T28" s="97">
        <f t="shared" si="1"/>
        <v>31</v>
      </c>
    </row>
    <row r="29" spans="1:20" ht="20.100000000000001" customHeight="1" x14ac:dyDescent="0.2">
      <c r="A29" s="84">
        <v>25</v>
      </c>
      <c r="B29" s="98">
        <v>25</v>
      </c>
      <c r="C29" s="85" t="s">
        <v>57</v>
      </c>
      <c r="D29" s="101"/>
      <c r="E29" s="87">
        <v>17</v>
      </c>
      <c r="F29" s="88">
        <f>IF(E29="-",0,IFERROR(IFERROR(VLOOKUP(E29,Атлет!$B$5:$I$104,8,FALSE),(IF(E29&lt;1,0,IF(INT(E29)&gt;=25,100,"Введите целое число")))),"Введите целое число или '-'"))</f>
        <v>68</v>
      </c>
      <c r="G29" s="89">
        <v>2.52</v>
      </c>
      <c r="H29" s="90">
        <f t="array" ref="H29">IF(G29=0,0,IF(MIN(IF(Атлет!$C$5:$C$104&gt;=G29,Атлет!$C$5:$C$104))=0,0,VLOOKUP(MIN(IF(Атлет!$C$5:$C$104&gt;=G29,Атлет!$C$5:$C$104)),Атлет!$C$5:$I$104,7)))</f>
        <v>76</v>
      </c>
      <c r="I29" s="91">
        <v>25</v>
      </c>
      <c r="J29" s="92">
        <f>IF(I29="-",0,IFERROR(IFERROR(VLOOKUP(I29,Атлет!$D$5:$I$104,6,FALSE),(IF(I29&lt;1,0,IF(INT(I29)&gt;=40,100,"Введите целое число")))),"Введите целое число или '-'"))</f>
        <v>55</v>
      </c>
      <c r="K29" s="93">
        <v>25</v>
      </c>
      <c r="L29" s="90">
        <f>IF(K29="-",0,IFERROR(IFERROR(VLOOKUP(K29,Атлет!$E$5:$I$104,5,FALSE),(IF(K29&lt;1,0,IF(INT(K29)&gt;=30,100,"Введите целое число")))),"Введите целое число или '-'"))</f>
        <v>90</v>
      </c>
      <c r="M29" s="87">
        <v>25</v>
      </c>
      <c r="N29" s="92">
        <f>IF(M29="-",0,IFERROR(IFERROR(VLOOKUP(M29,Атлет!$F$5:$I$104,4,FALSE),(IF(M29&lt;1,0,IF(INT(M29)&gt;=90,100,"Введите целое число")))),"Введите целое число или '-'"))</f>
        <v>25</v>
      </c>
      <c r="O29" s="93">
        <v>25</v>
      </c>
      <c r="P29" s="90">
        <f>IF(O29="-",0,IFERROR(IFERROR(VLOOKUP(O29,Атлет!$G$5:$I$104,3,FALSE),(IF(O29&lt;1,0,IF(INT(O29)&gt;=100,100,"Введите целое число")))),"Введите целое число или '-'"))</f>
        <v>25</v>
      </c>
      <c r="Q29" s="95">
        <v>39</v>
      </c>
      <c r="R29" s="88">
        <f t="array" ref="R29">IF(Q29=0,0,IF(MIN(IF(Атлет!$H$5:$H$104&gt;=Q29,Атлет!$H$5:$H$104))=0,0,VLOOKUP(MIN(IF(Атлет!$H$5:$H$104&gt;=Q29,Атлет!$H$5:$H$104)),Атлет!$H$5:$I$104,2)))</f>
        <v>76</v>
      </c>
      <c r="S29" s="96">
        <f t="shared" si="0"/>
        <v>415</v>
      </c>
      <c r="T29" s="97">
        <f t="shared" si="1"/>
        <v>29</v>
      </c>
    </row>
    <row r="30" spans="1:20" ht="20.100000000000001" customHeight="1" x14ac:dyDescent="0.3">
      <c r="A30" s="84">
        <v>26</v>
      </c>
      <c r="B30" s="9">
        <v>26</v>
      </c>
      <c r="C30" s="100" t="s">
        <v>66</v>
      </c>
      <c r="D30" s="102" t="s">
        <v>125</v>
      </c>
      <c r="E30" s="87">
        <v>18</v>
      </c>
      <c r="F30" s="88">
        <f>IF(E30="-",0,IFERROR(IFERROR(VLOOKUP(E30,Атлет!$B$5:$I$104,8,FALSE),(IF(E30&lt;1,0,IF(INT(E30)&gt;=25,100,"Введите целое число")))),"Введите целое число или '-'"))</f>
        <v>72</v>
      </c>
      <c r="G30" s="89">
        <v>2.4700000000000002</v>
      </c>
      <c r="H30" s="90">
        <f t="array" ref="H30">IF(G30=0,0,IF(MIN(IF(Атлет!$C$5:$C$104&gt;=G30,Атлет!$C$5:$C$104))=0,0,VLOOKUP(MIN(IF(Атлет!$C$5:$C$104&gt;=G30,Атлет!$C$5:$C$104)),Атлет!$C$5:$I$104,7)))</f>
        <v>78</v>
      </c>
      <c r="I30" s="91">
        <v>26</v>
      </c>
      <c r="J30" s="92">
        <f>IF(I30="-",0,IFERROR(IFERROR(VLOOKUP(I30,Атлет!$D$5:$I$104,6,FALSE),(IF(I30&lt;1,0,IF(INT(I30)&gt;=40,100,"Введите целое число")))),"Введите целое число или '-'"))</f>
        <v>58</v>
      </c>
      <c r="K30" s="93">
        <v>26</v>
      </c>
      <c r="L30" s="90">
        <f>IF(K30="-",0,IFERROR(IFERROR(VLOOKUP(K30,Атлет!$E$5:$I$104,5,FALSE),(IF(K30&lt;1,0,IF(INT(K30)&gt;=30,100,"Введите целое число")))),"Введите целое число или '-'"))</f>
        <v>92</v>
      </c>
      <c r="M30" s="94">
        <v>26</v>
      </c>
      <c r="N30" s="92">
        <f>IF(M30="-",0,IFERROR(IFERROR(VLOOKUP(M30,Атлет!$F$5:$I$104,4,FALSE),(IF(M30&lt;1,0,IF(INT(M30)&gt;=90,100,"Введите целое число")))),"Введите целое число или '-'"))</f>
        <v>26</v>
      </c>
      <c r="O30" s="93">
        <v>26</v>
      </c>
      <c r="P30" s="90">
        <f>IF(O30="-",0,IFERROR(IFERROR(VLOOKUP(O30,Атлет!$G$5:$I$104,3,FALSE),(IF(O30&lt;1,0,IF(INT(O30)&gt;=100,100,"Введите целое число")))),"Введите целое число или '-'"))</f>
        <v>26</v>
      </c>
      <c r="Q30" s="95">
        <v>39.1</v>
      </c>
      <c r="R30" s="88">
        <f t="array" ref="R30">IF(Q30=0,0,IF(MIN(IF(Атлет!$H$5:$H$104&gt;=Q30,Атлет!$H$5:$H$104))=0,0,VLOOKUP(MIN(IF(Атлет!$H$5:$H$104&gt;=Q30,Атлет!$H$5:$H$104)),Атлет!$H$5:$I$104,2)))</f>
        <v>75</v>
      </c>
      <c r="S30" s="96">
        <f t="shared" si="0"/>
        <v>427</v>
      </c>
      <c r="T30" s="97">
        <f t="shared" si="1"/>
        <v>27</v>
      </c>
    </row>
    <row r="31" spans="1:20" ht="20.100000000000001" customHeight="1" x14ac:dyDescent="0.3">
      <c r="A31" s="84">
        <v>27</v>
      </c>
      <c r="B31" s="98">
        <v>27</v>
      </c>
      <c r="C31" s="100" t="s">
        <v>61</v>
      </c>
      <c r="D31" s="102" t="s">
        <v>125</v>
      </c>
      <c r="E31" s="87">
        <v>19</v>
      </c>
      <c r="F31" s="88">
        <f>IF(E31="-",0,IFERROR(IFERROR(VLOOKUP(E31,Атлет!$B$5:$I$104,8,FALSE),(IF(E31&lt;1,0,IF(INT(E31)&gt;=25,100,"Введите целое число")))),"Введите целое число или '-'"))</f>
        <v>76</v>
      </c>
      <c r="G31" s="89">
        <v>2.56</v>
      </c>
      <c r="H31" s="90">
        <f t="array" ref="H31">IF(G31=0,0,IF(MIN(IF(Атлет!$C$5:$C$104&gt;=G31,Атлет!$C$5:$C$104))=0,0,VLOOKUP(MIN(IF(Атлет!$C$5:$C$104&gt;=G31,Атлет!$C$5:$C$104)),Атлет!$C$5:$I$104,7)))</f>
        <v>74</v>
      </c>
      <c r="I31" s="91">
        <v>27</v>
      </c>
      <c r="J31" s="92">
        <f>IF(I31="-",0,IFERROR(IFERROR(VLOOKUP(I31,Атлет!$D$5:$I$104,6,FALSE),(IF(I31&lt;1,0,IF(INT(I31)&gt;=40,100,"Введите целое число")))),"Введите целое число или '-'"))</f>
        <v>61</v>
      </c>
      <c r="K31" s="93">
        <v>27</v>
      </c>
      <c r="L31" s="90">
        <f>IF(K31="-",0,IFERROR(IFERROR(VLOOKUP(K31,Атлет!$E$5:$I$104,5,FALSE),(IF(K31&lt;1,0,IF(INT(K31)&gt;=30,100,"Введите целое число")))),"Введите целое число или '-'"))</f>
        <v>94</v>
      </c>
      <c r="M31" s="94">
        <v>27</v>
      </c>
      <c r="N31" s="92">
        <f>IF(M31="-",0,IFERROR(IFERROR(VLOOKUP(M31,Атлет!$F$5:$I$104,4,FALSE),(IF(M31&lt;1,0,IF(INT(M31)&gt;=90,100,"Введите целое число")))),"Введите целое число или '-'"))</f>
        <v>27</v>
      </c>
      <c r="O31" s="93">
        <v>27</v>
      </c>
      <c r="P31" s="90">
        <f>IF(O31="-",0,IFERROR(IFERROR(VLOOKUP(O31,Атлет!$G$5:$I$104,3,FALSE),(IF(O31&lt;1,0,IF(INT(O31)&gt;=100,100,"Введите целое число")))),"Введите целое число или '-'"))</f>
        <v>27</v>
      </c>
      <c r="Q31" s="95">
        <v>39.200000000000003</v>
      </c>
      <c r="R31" s="88">
        <f t="array" ref="R31">IF(Q31=0,0,IF(MIN(IF(Атлет!$H$5:$H$104&gt;=Q31,Атлет!$H$5:$H$104))=0,0,VLOOKUP(MIN(IF(Атлет!$H$5:$H$104&gt;=Q31,Атлет!$H$5:$H$104)),Атлет!$H$5:$I$104,2)))</f>
        <v>74</v>
      </c>
      <c r="S31" s="96">
        <f t="shared" si="0"/>
        <v>433</v>
      </c>
      <c r="T31" s="97">
        <f t="shared" si="1"/>
        <v>26</v>
      </c>
    </row>
    <row r="32" spans="1:20" ht="20.100000000000001" customHeight="1" x14ac:dyDescent="0.3">
      <c r="A32" s="84">
        <v>28</v>
      </c>
      <c r="B32" s="98">
        <v>28</v>
      </c>
      <c r="C32" s="100" t="s">
        <v>63</v>
      </c>
      <c r="D32" s="86" t="s">
        <v>129</v>
      </c>
      <c r="E32" s="87">
        <v>20</v>
      </c>
      <c r="F32" s="88">
        <f>IF(E32="-",0,IFERROR(IFERROR(VLOOKUP(E32,Атлет!$B$5:$I$104,8,FALSE),(IF(E32&lt;1,0,IF(INT(E32)&gt;=25,100,"Введите целое число")))),"Введите целое число или '-'"))</f>
        <v>80</v>
      </c>
      <c r="G32" s="89">
        <v>2.58</v>
      </c>
      <c r="H32" s="90">
        <f t="array" ref="H32">IF(G32=0,0,IF(MIN(IF(Атлет!$C$5:$C$104&gt;=G32,Атлет!$C$5:$C$104))=0,0,VLOOKUP(MIN(IF(Атлет!$C$5:$C$104&gt;=G32,Атлет!$C$5:$C$104)),Атлет!$C$5:$I$104,7)))</f>
        <v>73</v>
      </c>
      <c r="I32" s="91">
        <v>28</v>
      </c>
      <c r="J32" s="92">
        <f>IF(I32="-",0,IFERROR(IFERROR(VLOOKUP(I32,Атлет!$D$5:$I$104,6,FALSE),(IF(I32&lt;1,0,IF(INT(I32)&gt;=40,100,"Введите целое число")))),"Введите целое число или '-'"))</f>
        <v>64</v>
      </c>
      <c r="K32" s="93">
        <v>28</v>
      </c>
      <c r="L32" s="90">
        <f>IF(K32="-",0,IFERROR(IFERROR(VLOOKUP(K32,Атлет!$E$5:$I$104,5,FALSE),(IF(K32&lt;1,0,IF(INT(K32)&gt;=30,100,"Введите целое число")))),"Введите целое число или '-'"))</f>
        <v>96</v>
      </c>
      <c r="M32" s="87">
        <v>28</v>
      </c>
      <c r="N32" s="92">
        <f>IF(M32="-",0,IFERROR(IFERROR(VLOOKUP(M32,Атлет!$F$5:$I$104,4,FALSE),(IF(M32&lt;1,0,IF(INT(M32)&gt;=90,100,"Введите целое число")))),"Введите целое число или '-'"))</f>
        <v>28</v>
      </c>
      <c r="O32" s="93">
        <v>28</v>
      </c>
      <c r="P32" s="90">
        <f>IF(O32="-",0,IFERROR(IFERROR(VLOOKUP(O32,Атлет!$G$5:$I$104,3,FALSE),(IF(O32&lt;1,0,IF(INT(O32)&gt;=100,100,"Введите целое число")))),"Введите целое число или '-'"))</f>
        <v>28</v>
      </c>
      <c r="Q32" s="95">
        <v>39.299999999999997</v>
      </c>
      <c r="R32" s="88">
        <f t="array" ref="R32">IF(Q32=0,0,IF(MIN(IF(Атлет!$H$5:$H$104&gt;=Q32,Атлет!$H$5:$H$104))=0,0,VLOOKUP(MIN(IF(Атлет!$H$5:$H$104&gt;=Q32,Атлет!$H$5:$H$104)),Атлет!$H$5:$I$104,2)))</f>
        <v>73</v>
      </c>
      <c r="S32" s="96">
        <f t="shared" si="0"/>
        <v>442</v>
      </c>
      <c r="T32" s="97">
        <f t="shared" si="1"/>
        <v>24</v>
      </c>
    </row>
    <row r="33" spans="1:20" ht="20.100000000000001" customHeight="1" x14ac:dyDescent="0.3">
      <c r="A33" s="84">
        <v>29</v>
      </c>
      <c r="B33" s="9">
        <v>29</v>
      </c>
      <c r="C33" s="100" t="s">
        <v>68</v>
      </c>
      <c r="D33" s="86" t="s">
        <v>127</v>
      </c>
      <c r="E33" s="87">
        <v>21</v>
      </c>
      <c r="F33" s="88">
        <f>IF(E33="-",0,IFERROR(IFERROR(VLOOKUP(E33,Атлет!$B$5:$I$104,8,FALSE),(IF(E33&lt;1,0,IF(INT(E33)&gt;=25,100,"Введите целое число")))),"Введите целое число или '-'"))</f>
        <v>84</v>
      </c>
      <c r="G33" s="89">
        <v>3</v>
      </c>
      <c r="H33" s="90">
        <f t="array" ref="H33">IF(G33=0,0,IF(MIN(IF(Атлет!$C$5:$C$104&gt;=G33,Атлет!$C$5:$C$104))=0,0,VLOOKUP(MIN(IF(Атлет!$C$5:$C$104&gt;=G33,Атлет!$C$5:$C$104)),Атлет!$C$5:$I$104,7)))</f>
        <v>72</v>
      </c>
      <c r="I33" s="91">
        <v>29</v>
      </c>
      <c r="J33" s="92">
        <f>IF(I33="-",0,IFERROR(IFERROR(VLOOKUP(I33,Атлет!$D$5:$I$104,6,FALSE),(IF(I33&lt;1,0,IF(INT(I33)&gt;=40,100,"Введите целое число")))),"Введите целое число или '-'"))</f>
        <v>67</v>
      </c>
      <c r="K33" s="93">
        <v>29</v>
      </c>
      <c r="L33" s="90">
        <f>IF(K33="-",0,IFERROR(IFERROR(VLOOKUP(K33,Атлет!$E$5:$I$104,5,FALSE),(IF(K33&lt;1,0,IF(INT(K33)&gt;=30,100,"Введите целое число")))),"Введите целое число или '-'"))</f>
        <v>98</v>
      </c>
      <c r="M33" s="94">
        <v>29</v>
      </c>
      <c r="N33" s="92">
        <f>IF(M33="-",0,IFERROR(IFERROR(VLOOKUP(M33,Атлет!$F$5:$I$104,4,FALSE),(IF(M33&lt;1,0,IF(INT(M33)&gt;=90,100,"Введите целое число")))),"Введите целое число или '-'"))</f>
        <v>29</v>
      </c>
      <c r="O33" s="93">
        <v>29</v>
      </c>
      <c r="P33" s="90">
        <f>IF(O33="-",0,IFERROR(IFERROR(VLOOKUP(O33,Атлет!$G$5:$I$104,3,FALSE),(IF(O33&lt;1,0,IF(INT(O33)&gt;=100,100,"Введите целое число")))),"Введите целое число или '-'"))</f>
        <v>29</v>
      </c>
      <c r="Q33" s="95">
        <v>39.4</v>
      </c>
      <c r="R33" s="88">
        <f t="array" ref="R33">IF(Q33=0,0,IF(MIN(IF(Атлет!$H$5:$H$104&gt;=Q33,Атлет!$H$5:$H$104))=0,0,VLOOKUP(MIN(IF(Атлет!$H$5:$H$104&gt;=Q33,Атлет!$H$5:$H$104)),Атлет!$H$5:$I$104,2)))</f>
        <v>72</v>
      </c>
      <c r="S33" s="96">
        <f t="shared" si="0"/>
        <v>451</v>
      </c>
      <c r="T33" s="97">
        <f t="shared" si="1"/>
        <v>21</v>
      </c>
    </row>
    <row r="34" spans="1:20" ht="20.100000000000001" customHeight="1" x14ac:dyDescent="0.3">
      <c r="A34" s="84">
        <v>30</v>
      </c>
      <c r="B34" s="98">
        <v>30</v>
      </c>
      <c r="C34" s="100" t="s">
        <v>74</v>
      </c>
      <c r="D34" s="86" t="s">
        <v>128</v>
      </c>
      <c r="E34" s="87">
        <v>22</v>
      </c>
      <c r="F34" s="88">
        <f>IF(E34="-",0,IFERROR(IFERROR(VLOOKUP(E34,Атлет!$B$5:$I$104,8,FALSE),(IF(E34&lt;1,0,IF(INT(E34)&gt;=25,100,"Введите целое число")))),"Введите целое число или '-'"))</f>
        <v>88</v>
      </c>
      <c r="G34" s="89">
        <v>3.02</v>
      </c>
      <c r="H34" s="90">
        <f t="array" ref="H34">IF(G34=0,0,IF(MIN(IF(Атлет!$C$5:$C$104&gt;=G34,Атлет!$C$5:$C$104))=0,0,VLOOKUP(MIN(IF(Атлет!$C$5:$C$104&gt;=G34,Атлет!$C$5:$C$104)),Атлет!$C$5:$I$104,7)))</f>
        <v>71</v>
      </c>
      <c r="I34" s="91">
        <v>30</v>
      </c>
      <c r="J34" s="92">
        <f>IF(I34="-",0,IFERROR(IFERROR(VLOOKUP(I34,Атлет!$D$5:$I$104,6,FALSE),(IF(I34&lt;1,0,IF(INT(I34)&gt;=40,100,"Введите целое число")))),"Введите целое число или '-'"))</f>
        <v>70</v>
      </c>
      <c r="K34" s="93">
        <v>30</v>
      </c>
      <c r="L34" s="90">
        <f>IF(K34="-",0,IFERROR(IFERROR(VLOOKUP(K34,Атлет!$E$5:$I$104,5,FALSE),(IF(K34&lt;1,0,IF(INT(K34)&gt;=30,100,"Введите целое число")))),"Введите целое число или '-'"))</f>
        <v>100</v>
      </c>
      <c r="M34" s="94">
        <v>30</v>
      </c>
      <c r="N34" s="92">
        <f>IF(M34="-",0,IFERROR(IFERROR(VLOOKUP(M34,Атлет!$F$5:$I$104,4,FALSE),(IF(M34&lt;1,0,IF(INT(M34)&gt;=90,100,"Введите целое число")))),"Введите целое число или '-'"))</f>
        <v>30</v>
      </c>
      <c r="O34" s="93">
        <v>30</v>
      </c>
      <c r="P34" s="90">
        <f>IF(O34="-",0,IFERROR(IFERROR(VLOOKUP(O34,Атлет!$G$5:$I$104,3,FALSE),(IF(O34&lt;1,0,IF(INT(O34)&gt;=100,100,"Введите целое число")))),"Введите целое число или '-'"))</f>
        <v>30</v>
      </c>
      <c r="Q34" s="95">
        <v>39.5</v>
      </c>
      <c r="R34" s="88">
        <f t="array" ref="R34">IF(Q34=0,0,IF(MIN(IF(Атлет!$H$5:$H$104&gt;=Q34,Атлет!$H$5:$H$104))=0,0,VLOOKUP(MIN(IF(Атлет!$H$5:$H$104&gt;=Q34,Атлет!$H$5:$H$104)),Атлет!$H$5:$I$104,2)))</f>
        <v>71</v>
      </c>
      <c r="S34" s="96">
        <f t="shared" si="0"/>
        <v>460</v>
      </c>
      <c r="T34" s="97">
        <f t="shared" si="1"/>
        <v>19</v>
      </c>
    </row>
    <row r="35" spans="1:20" ht="20.100000000000001" customHeight="1" x14ac:dyDescent="0.2">
      <c r="A35" s="84">
        <v>31</v>
      </c>
      <c r="B35" s="98">
        <v>31</v>
      </c>
      <c r="C35" s="85" t="s">
        <v>56</v>
      </c>
      <c r="D35" s="86" t="s">
        <v>130</v>
      </c>
      <c r="E35" s="87">
        <v>23</v>
      </c>
      <c r="F35" s="88">
        <f>IF(E35="-",0,IFERROR(IFERROR(VLOOKUP(E35,Атлет!$B$5:$I$104,8,FALSE),(IF(E35&lt;1,0,IF(INT(E35)&gt;=25,100,"Введите целое число")))),"Введите целое число или '-'"))</f>
        <v>92</v>
      </c>
      <c r="G35" s="89">
        <v>3.04</v>
      </c>
      <c r="H35" s="90">
        <f t="array" ref="H35">IF(G35=0,0,IF(MIN(IF(Атлет!$C$5:$C$104&gt;=G35,Атлет!$C$5:$C$104))=0,0,VLOOKUP(MIN(IF(Атлет!$C$5:$C$104&gt;=G35,Атлет!$C$5:$C$104)),Атлет!$C$5:$I$104,7)))</f>
        <v>70</v>
      </c>
      <c r="I35" s="91">
        <v>31</v>
      </c>
      <c r="J35" s="92">
        <f>IF(I35="-",0,IFERROR(IFERROR(VLOOKUP(I35,Атлет!$D$5:$I$104,6,FALSE),(IF(I35&lt;1,0,IF(INT(I35)&gt;=40,100,"Введите целое число")))),"Введите целое число или '-'"))</f>
        <v>73</v>
      </c>
      <c r="K35" s="93">
        <v>31</v>
      </c>
      <c r="L35" s="90">
        <f>IF(K35="-",0,IFERROR(IFERROR(VLOOKUP(K35,Атлет!$E$5:$I$104,5,FALSE),(IF(K35&lt;1,0,IF(INT(K35)&gt;=30,100,"Введите целое число")))),"Введите целое число или '-'"))</f>
        <v>100</v>
      </c>
      <c r="M35" s="87">
        <v>31</v>
      </c>
      <c r="N35" s="92">
        <f>IF(M35="-",0,IFERROR(IFERROR(VLOOKUP(M35,Атлет!$F$5:$I$104,4,FALSE),(IF(M35&lt;1,0,IF(INT(M35)&gt;=90,100,"Введите целое число")))),"Введите целое число или '-'"))</f>
        <v>32</v>
      </c>
      <c r="O35" s="93">
        <v>31</v>
      </c>
      <c r="P35" s="90">
        <f>IF(O35="-",0,IFERROR(IFERROR(VLOOKUP(O35,Атлет!$G$5:$I$104,3,FALSE),(IF(O35&lt;1,0,IF(INT(O35)&gt;=100,100,"Введите целое число")))),"Введите целое число или '-'"))</f>
        <v>31</v>
      </c>
      <c r="Q35" s="95">
        <v>40</v>
      </c>
      <c r="R35" s="88">
        <f t="array" ref="R35">IF(Q35=0,0,IF(MIN(IF(Атлет!$H$5:$H$104&gt;=Q35,Атлет!$H$5:$H$104))=0,0,VLOOKUP(MIN(IF(Атлет!$H$5:$H$104&gt;=Q35,Атлет!$H$5:$H$104)),Атлет!$H$5:$I$104,2)))</f>
        <v>70</v>
      </c>
      <c r="S35" s="96">
        <f t="shared" si="0"/>
        <v>468</v>
      </c>
      <c r="T35" s="97">
        <f t="shared" si="1"/>
        <v>16</v>
      </c>
    </row>
    <row r="36" spans="1:20" ht="20.100000000000001" customHeight="1" x14ac:dyDescent="0.3">
      <c r="A36" s="84">
        <v>32</v>
      </c>
      <c r="B36" s="9">
        <v>32</v>
      </c>
      <c r="C36" s="100" t="s">
        <v>70</v>
      </c>
      <c r="D36" s="86" t="s">
        <v>131</v>
      </c>
      <c r="E36" s="87">
        <v>24</v>
      </c>
      <c r="F36" s="88">
        <f>IF(E36="-",0,IFERROR(IFERROR(VLOOKUP(E36,Атлет!$B$5:$I$104,8,FALSE),(IF(E36&lt;1,0,IF(INT(E36)&gt;=25,100,"Введите целое число")))),"Введите целое число или '-'"))</f>
        <v>96</v>
      </c>
      <c r="G36" s="89">
        <v>3.06</v>
      </c>
      <c r="H36" s="90">
        <f t="array" ref="H36">IF(G36=0,0,IF(MIN(IF(Атлет!$C$5:$C$104&gt;=G36,Атлет!$C$5:$C$104))=0,0,VLOOKUP(MIN(IF(Атлет!$C$5:$C$104&gt;=G36,Атлет!$C$5:$C$104)),Атлет!$C$5:$I$104,7)))</f>
        <v>69</v>
      </c>
      <c r="I36" s="91">
        <v>32</v>
      </c>
      <c r="J36" s="92">
        <f>IF(I36="-",0,IFERROR(IFERROR(VLOOKUP(I36,Атлет!$D$5:$I$104,6,FALSE),(IF(I36&lt;1,0,IF(INT(I36)&gt;=40,100,"Введите целое число")))),"Введите целое число или '-'"))</f>
        <v>76</v>
      </c>
      <c r="K36" s="93">
        <v>32</v>
      </c>
      <c r="L36" s="90">
        <f>IF(K36="-",0,IFERROR(IFERROR(VLOOKUP(K36,Атлет!$E$5:$I$104,5,FALSE),(IF(K36&lt;1,0,IF(INT(K36)&gt;=30,100,"Введите целое число")))),"Введите целое число или '-'"))</f>
        <v>100</v>
      </c>
      <c r="M36" s="94">
        <v>32</v>
      </c>
      <c r="N36" s="92">
        <f>IF(M36="-",0,IFERROR(IFERROR(VLOOKUP(M36,Атлет!$F$5:$I$104,4,FALSE),(IF(M36&lt;1,0,IF(INT(M36)&gt;=90,100,"Введите целое число")))),"Введите целое число или '-'"))</f>
        <v>34</v>
      </c>
      <c r="O36" s="93">
        <v>32</v>
      </c>
      <c r="P36" s="90">
        <f>IF(O36="-",0,IFERROR(IFERROR(VLOOKUP(O36,Атлет!$G$5:$I$104,3,FALSE),(IF(O36&lt;1,0,IF(INT(O36)&gt;=100,100,"Введите целое число")))),"Введите целое число или '-'"))</f>
        <v>32</v>
      </c>
      <c r="Q36" s="95">
        <v>40.1</v>
      </c>
      <c r="R36" s="88">
        <f t="array" ref="R36">IF(Q36=0,0,IF(MIN(IF(Атлет!$H$5:$H$104&gt;=Q36,Атлет!$H$5:$H$104))=0,0,VLOOKUP(MIN(IF(Атлет!$H$5:$H$104&gt;=Q36,Атлет!$H$5:$H$104)),Атлет!$H$5:$I$104,2)))</f>
        <v>69</v>
      </c>
      <c r="S36" s="96">
        <f t="shared" si="0"/>
        <v>476</v>
      </c>
      <c r="T36" s="97">
        <f t="shared" si="1"/>
        <v>14</v>
      </c>
    </row>
    <row r="37" spans="1:20" ht="20.100000000000001" customHeight="1" x14ac:dyDescent="0.3">
      <c r="A37" s="84">
        <v>33</v>
      </c>
      <c r="B37" s="98">
        <v>33</v>
      </c>
      <c r="C37" s="100" t="s">
        <v>67</v>
      </c>
      <c r="D37" s="102" t="s">
        <v>125</v>
      </c>
      <c r="E37" s="87">
        <v>25</v>
      </c>
      <c r="F37" s="88">
        <f>IF(E37="-",0,IFERROR(IFERROR(VLOOKUP(E37,Атлет!$B$5:$I$104,8,FALSE),(IF(E37&lt;1,0,IF(INT(E37)&gt;=25,100,"Введите целое число")))),"Введите целое число или '-'"))</f>
        <v>100</v>
      </c>
      <c r="G37" s="89">
        <v>3.08</v>
      </c>
      <c r="H37" s="90">
        <f t="array" ref="H37">IF(G37=0,0,IF(MIN(IF(Атлет!$C$5:$C$104&gt;=G37,Атлет!$C$5:$C$104))=0,0,VLOOKUP(MIN(IF(Атлет!$C$5:$C$104&gt;=G37,Атлет!$C$5:$C$104)),Атлет!$C$5:$I$104,7)))</f>
        <v>68</v>
      </c>
      <c r="I37" s="91">
        <v>33</v>
      </c>
      <c r="J37" s="92">
        <f>IF(I37="-",0,IFERROR(IFERROR(VLOOKUP(I37,Атлет!$D$5:$I$104,6,FALSE),(IF(I37&lt;1,0,IF(INT(I37)&gt;=40,100,"Введите целое число")))),"Введите целое число или '-'"))</f>
        <v>79</v>
      </c>
      <c r="K37" s="93">
        <v>33</v>
      </c>
      <c r="L37" s="90">
        <f>IF(K37="-",0,IFERROR(IFERROR(VLOOKUP(K37,Атлет!$E$5:$I$104,5,FALSE),(IF(K37&lt;1,0,IF(INT(K37)&gt;=30,100,"Введите целое число")))),"Введите целое число или '-'"))</f>
        <v>100</v>
      </c>
      <c r="M37" s="94">
        <v>33</v>
      </c>
      <c r="N37" s="92">
        <f>IF(M37="-",0,IFERROR(IFERROR(VLOOKUP(M37,Атлет!$F$5:$I$104,4,FALSE),(IF(M37&lt;1,0,IF(INT(M37)&gt;=90,100,"Введите целое число")))),"Введите целое число или '-'"))</f>
        <v>36</v>
      </c>
      <c r="O37" s="93">
        <v>33</v>
      </c>
      <c r="P37" s="90">
        <f>IF(O37="-",0,IFERROR(IFERROR(VLOOKUP(O37,Атлет!$G$5:$I$104,3,FALSE),(IF(O37&lt;1,0,IF(INT(O37)&gt;=100,100,"Введите целое число")))),"Введите целое число или '-'"))</f>
        <v>33</v>
      </c>
      <c r="Q37" s="95">
        <v>40.200000000000003</v>
      </c>
      <c r="R37" s="88">
        <f t="array" ref="R37">IF(Q37=0,0,IF(MIN(IF(Атлет!$H$5:$H$104&gt;=Q37,Атлет!$H$5:$H$104))=0,0,VLOOKUP(MIN(IF(Атлет!$H$5:$H$104&gt;=Q37,Атлет!$H$5:$H$104)),Атлет!$H$5:$I$104,2)))</f>
        <v>68</v>
      </c>
      <c r="S37" s="96">
        <f t="shared" si="0"/>
        <v>484</v>
      </c>
      <c r="T37" s="97">
        <f t="shared" si="1"/>
        <v>11</v>
      </c>
    </row>
    <row r="38" spans="1:20" ht="20.100000000000001" customHeight="1" x14ac:dyDescent="0.3">
      <c r="A38" s="84">
        <v>34</v>
      </c>
      <c r="B38" s="98">
        <v>34</v>
      </c>
      <c r="C38" s="100" t="s">
        <v>76</v>
      </c>
      <c r="D38" s="86"/>
      <c r="E38" s="87">
        <v>26</v>
      </c>
      <c r="F38" s="88">
        <f>IF(E38="-",0,IFERROR(IFERROR(VLOOKUP(E38,Атлет!$B$5:$I$104,8,FALSE),(IF(E38&lt;1,0,IF(INT(E38)&gt;=25,100,"Введите целое число")))),"Введите целое число или '-'"))</f>
        <v>100</v>
      </c>
      <c r="G38" s="89">
        <v>3.1</v>
      </c>
      <c r="H38" s="90">
        <f t="array" ref="H38">IF(G38=0,0,IF(MIN(IF(Атлет!$C$5:$C$104&gt;=G38,Атлет!$C$5:$C$104))=0,0,VLOOKUP(MIN(IF(Атлет!$C$5:$C$104&gt;=G38,Атлет!$C$5:$C$104)),Атлет!$C$5:$I$104,7)))</f>
        <v>67</v>
      </c>
      <c r="I38" s="91">
        <v>34</v>
      </c>
      <c r="J38" s="92">
        <f>IF(I38="-",0,IFERROR(IFERROR(VLOOKUP(I38,Атлет!$D$5:$I$104,6,FALSE),(IF(I38&lt;1,0,IF(INT(I38)&gt;=40,100,"Введите целое число")))),"Введите целое число или '-'"))</f>
        <v>82</v>
      </c>
      <c r="K38" s="103">
        <v>32</v>
      </c>
      <c r="L38" s="90">
        <f>IF(K38="-",0,IFERROR(IFERROR(VLOOKUP(K38,Атлет!$E$5:$I$104,5,FALSE),(IF(K38&lt;1,0,IF(INT(K38)&gt;=30,100,"Введите целое число")))),"Введите целое число или '-'"))</f>
        <v>100</v>
      </c>
      <c r="M38" s="87">
        <v>34</v>
      </c>
      <c r="N38" s="92">
        <f>IF(M38="-",0,IFERROR(IFERROR(VLOOKUP(M38,Атлет!$F$5:$I$104,4,FALSE),(IF(M38&lt;1,0,IF(INT(M38)&gt;=90,100,"Введите целое число")))),"Введите целое число или '-'"))</f>
        <v>38</v>
      </c>
      <c r="O38" s="93">
        <v>34</v>
      </c>
      <c r="P38" s="90">
        <f>IF(O38="-",0,IFERROR(IFERROR(VLOOKUP(O38,Атлет!$G$5:$I$104,3,FALSE),(IF(O38&lt;1,0,IF(INT(O38)&gt;=100,100,"Введите целое число")))),"Введите целое число или '-'"))</f>
        <v>34</v>
      </c>
      <c r="Q38" s="95">
        <v>40.299999999999997</v>
      </c>
      <c r="R38" s="88">
        <f t="array" ref="R38">IF(Q38=0,0,IF(MIN(IF(Атлет!$H$5:$H$104&gt;=Q38,Атлет!$H$5:$H$104))=0,0,VLOOKUP(MIN(IF(Атлет!$H$5:$H$104&gt;=Q38,Атлет!$H$5:$H$104)),Атлет!$H$5:$I$104,2)))</f>
        <v>67</v>
      </c>
      <c r="S38" s="96">
        <f t="shared" si="0"/>
        <v>488</v>
      </c>
      <c r="T38" s="97">
        <f t="shared" si="1"/>
        <v>10</v>
      </c>
    </row>
    <row r="39" spans="1:20" ht="20.100000000000001" customHeight="1" x14ac:dyDescent="0.3">
      <c r="A39" s="84">
        <v>35</v>
      </c>
      <c r="B39" s="9">
        <v>35</v>
      </c>
      <c r="C39" s="100" t="s">
        <v>73</v>
      </c>
      <c r="D39" s="86" t="s">
        <v>127</v>
      </c>
      <c r="E39" s="87">
        <v>27</v>
      </c>
      <c r="F39" s="88">
        <f>IF(E39="-",0,IFERROR(IFERROR(VLOOKUP(E39,Атлет!$B$5:$I$104,8,FALSE),(IF(E39&lt;1,0,IF(INT(E39)&gt;=25,100,"Введите целое число")))),"Введите целое число или '-'"))</f>
        <v>100</v>
      </c>
      <c r="G39" s="89">
        <v>3.12</v>
      </c>
      <c r="H39" s="90">
        <f t="array" ref="H39">IF(G39=0,0,IF(MIN(IF(Атлет!$C$5:$C$104&gt;=G39,Атлет!$C$5:$C$104))=0,0,VLOOKUP(MIN(IF(Атлет!$C$5:$C$104&gt;=G39,Атлет!$C$5:$C$104)),Атлет!$C$5:$I$104,7)))</f>
        <v>66</v>
      </c>
      <c r="I39" s="91">
        <v>35</v>
      </c>
      <c r="J39" s="92">
        <f>IF(I39="-",0,IFERROR(IFERROR(VLOOKUP(I39,Атлет!$D$5:$I$104,6,FALSE),(IF(I39&lt;1,0,IF(INT(I39)&gt;=40,100,"Введите целое число")))),"Введите целое число или '-'"))</f>
        <v>85</v>
      </c>
      <c r="K39" s="103">
        <v>31</v>
      </c>
      <c r="L39" s="90">
        <f>IF(K39="-",0,IFERROR(IFERROR(VLOOKUP(K39,Атлет!$E$5:$I$104,5,FALSE),(IF(K39&lt;1,0,IF(INT(K39)&gt;=30,100,"Введите целое число")))),"Введите целое число или '-'"))</f>
        <v>100</v>
      </c>
      <c r="M39" s="94">
        <v>35</v>
      </c>
      <c r="N39" s="92">
        <f>IF(M39="-",0,IFERROR(IFERROR(VLOOKUP(M39,Атлет!$F$5:$I$104,4,FALSE),(IF(M39&lt;1,0,IF(INT(M39)&gt;=90,100,"Введите целое число")))),"Введите целое число или '-'"))</f>
        <v>40</v>
      </c>
      <c r="O39" s="93">
        <v>35</v>
      </c>
      <c r="P39" s="90">
        <f>IF(O39="-",0,IFERROR(IFERROR(VLOOKUP(O39,Атлет!$G$5:$I$104,3,FALSE),(IF(O39&lt;1,0,IF(INT(O39)&gt;=100,100,"Введите целое число")))),"Введите целое число или '-'"))</f>
        <v>35</v>
      </c>
      <c r="Q39" s="95">
        <v>40.4</v>
      </c>
      <c r="R39" s="88">
        <f t="array" ref="R39">IF(Q39=0,0,IF(MIN(IF(Атлет!$H$5:$H$104&gt;=Q39,Атлет!$H$5:$H$104))=0,0,VLOOKUP(MIN(IF(Атлет!$H$5:$H$104&gt;=Q39,Атлет!$H$5:$H$104)),Атлет!$H$5:$I$104,2)))</f>
        <v>66</v>
      </c>
      <c r="S39" s="96">
        <f t="shared" si="0"/>
        <v>492</v>
      </c>
      <c r="T39" s="97">
        <f t="shared" si="1"/>
        <v>8</v>
      </c>
    </row>
    <row r="40" spans="1:20" ht="20.100000000000001" customHeight="1" x14ac:dyDescent="0.2">
      <c r="A40" s="84">
        <v>36</v>
      </c>
      <c r="B40" s="98">
        <v>36</v>
      </c>
      <c r="C40" s="85" t="s">
        <v>37</v>
      </c>
      <c r="D40" s="86" t="s">
        <v>128</v>
      </c>
      <c r="E40" s="87">
        <v>28</v>
      </c>
      <c r="F40" s="88">
        <f>IF(E40="-",0,IFERROR(IFERROR(VLOOKUP(E40,Атлет!$B$5:$I$104,8,FALSE),(IF(E40&lt;1,0,IF(INT(E40)&gt;=25,100,"Введите целое число")))),"Введите целое число или '-'"))</f>
        <v>100</v>
      </c>
      <c r="G40" s="89">
        <v>3.14</v>
      </c>
      <c r="H40" s="90">
        <f t="array" ref="H40">IF(G40=0,0,IF(MIN(IF(Атлет!$C$5:$C$104&gt;=G40,Атлет!$C$5:$C$104))=0,0,VLOOKUP(MIN(IF(Атлет!$C$5:$C$104&gt;=G40,Атлет!$C$5:$C$104)),Атлет!$C$5:$I$104,7)))</f>
        <v>65</v>
      </c>
      <c r="I40" s="91">
        <v>36</v>
      </c>
      <c r="J40" s="92">
        <f>IF(I40="-",0,IFERROR(IFERROR(VLOOKUP(I40,Атлет!$D$5:$I$104,6,FALSE),(IF(I40&lt;1,0,IF(INT(I40)&gt;=40,100,"Введите целое число")))),"Введите целое число или '-'"))</f>
        <v>88</v>
      </c>
      <c r="K40" s="93">
        <v>30</v>
      </c>
      <c r="L40" s="90">
        <f>IF(K40="-",0,IFERROR(IFERROR(VLOOKUP(K40,Атлет!$E$5:$I$104,5,FALSE),(IF(K40&lt;1,0,IF(INT(K40)&gt;=30,100,"Введите целое число")))),"Введите целое число или '-'"))</f>
        <v>100</v>
      </c>
      <c r="M40" s="94">
        <v>36</v>
      </c>
      <c r="N40" s="92">
        <f>IF(M40="-",0,IFERROR(IFERROR(VLOOKUP(M40,Атлет!$F$5:$I$104,4,FALSE),(IF(M40&lt;1,0,IF(INT(M40)&gt;=90,100,"Введите целое число")))),"Введите целое число или '-'"))</f>
        <v>42</v>
      </c>
      <c r="O40" s="93">
        <v>36</v>
      </c>
      <c r="P40" s="90">
        <f>IF(O40="-",0,IFERROR(IFERROR(VLOOKUP(O40,Атлет!$G$5:$I$104,3,FALSE),(IF(O40&lt;1,0,IF(INT(O40)&gt;=100,100,"Введите целое число")))),"Введите целое число или '-'"))</f>
        <v>36</v>
      </c>
      <c r="Q40" s="95">
        <v>40.5</v>
      </c>
      <c r="R40" s="88">
        <f t="array" ref="R40">IF(Q40=0,0,IF(MIN(IF(Атлет!$H$5:$H$104&gt;=Q40,Атлет!$H$5:$H$104))=0,0,VLOOKUP(MIN(IF(Атлет!$H$5:$H$104&gt;=Q40,Атлет!$H$5:$H$104)),Атлет!$H$5:$I$104,2)))</f>
        <v>65</v>
      </c>
      <c r="S40" s="96">
        <f t="shared" si="0"/>
        <v>496</v>
      </c>
      <c r="T40" s="97">
        <f t="shared" si="1"/>
        <v>6</v>
      </c>
    </row>
    <row r="41" spans="1:20" ht="20.100000000000001" customHeight="1" x14ac:dyDescent="0.2">
      <c r="A41" s="84">
        <v>37</v>
      </c>
      <c r="B41" s="9">
        <v>37</v>
      </c>
      <c r="C41" s="85" t="s">
        <v>52</v>
      </c>
      <c r="D41" s="86" t="s">
        <v>130</v>
      </c>
      <c r="E41" s="87">
        <v>29</v>
      </c>
      <c r="F41" s="88">
        <f>IF(E41="-",0,IFERROR(IFERROR(VLOOKUP(E41,Атлет!$B$5:$I$104,8,FALSE),(IF(E41&lt;1,0,IF(INT(E41)&gt;=25,100,"Введите целое число")))),"Введите целое число или '-'"))</f>
        <v>100</v>
      </c>
      <c r="G41" s="89">
        <v>3.16</v>
      </c>
      <c r="H41" s="90">
        <f t="array" ref="H41">IF(G41=0,0,IF(MIN(IF(Атлет!$C$5:$C$104&gt;=G41,Атлет!$C$5:$C$104))=0,0,VLOOKUP(MIN(IF(Атлет!$C$5:$C$104&gt;=G41,Атлет!$C$5:$C$104)),Атлет!$C$5:$I$104,7)))</f>
        <v>64</v>
      </c>
      <c r="I41" s="91">
        <v>37</v>
      </c>
      <c r="J41" s="92">
        <f>IF(I41="-",0,IFERROR(IFERROR(VLOOKUP(I41,Атлет!$D$5:$I$104,6,FALSE),(IF(I41&lt;1,0,IF(INT(I41)&gt;=40,100,"Введите целое число")))),"Введите целое число или '-'"))</f>
        <v>91</v>
      </c>
      <c r="K41" s="103">
        <v>29</v>
      </c>
      <c r="L41" s="90">
        <f>IF(K41="-",0,IFERROR(IFERROR(VLOOKUP(K41,Атлет!$E$5:$I$104,5,FALSE),(IF(K41&lt;1,0,IF(INT(K41)&gt;=30,100,"Введите целое число")))),"Введите целое число или '-'"))</f>
        <v>98</v>
      </c>
      <c r="M41" s="87">
        <v>37</v>
      </c>
      <c r="N41" s="92">
        <f>IF(M41="-",0,IFERROR(IFERROR(VLOOKUP(M41,Атлет!$F$5:$I$104,4,FALSE),(IF(M41&lt;1,0,IF(INT(M41)&gt;=90,100,"Введите целое число")))),"Введите целое число или '-'"))</f>
        <v>44</v>
      </c>
      <c r="O41" s="93">
        <v>37</v>
      </c>
      <c r="P41" s="90">
        <f>IF(O41="-",0,IFERROR(IFERROR(VLOOKUP(O41,Атлет!$G$5:$I$104,3,FALSE),(IF(O41&lt;1,0,IF(INT(O41)&gt;=100,100,"Введите целое число")))),"Введите целое число или '-'"))</f>
        <v>37</v>
      </c>
      <c r="Q41" s="95">
        <v>41</v>
      </c>
      <c r="R41" s="88">
        <f t="array" ref="R41">IF(Q41=0,0,IF(MIN(IF(Атлет!$H$5:$H$104&gt;=Q41,Атлет!$H$5:$H$104))=0,0,VLOOKUP(MIN(IF(Атлет!$H$5:$H$104&gt;=Q41,Атлет!$H$5:$H$104)),Атлет!$H$5:$I$104,2)))</f>
        <v>64</v>
      </c>
      <c r="S41" s="96">
        <f t="shared" si="0"/>
        <v>498</v>
      </c>
      <c r="T41" s="97">
        <f t="shared" si="1"/>
        <v>5</v>
      </c>
    </row>
    <row r="42" spans="1:20" ht="20.100000000000001" customHeight="1" x14ac:dyDescent="0.2">
      <c r="A42" s="84">
        <v>38</v>
      </c>
      <c r="B42" s="98">
        <v>38</v>
      </c>
      <c r="C42" s="85" t="s">
        <v>30</v>
      </c>
      <c r="D42" s="86" t="s">
        <v>131</v>
      </c>
      <c r="E42" s="87">
        <v>30</v>
      </c>
      <c r="F42" s="88">
        <f>IF(E42="-",0,IFERROR(IFERROR(VLOOKUP(E42,Атлет!$B$5:$I$104,8,FALSE),(IF(E42&lt;1,0,IF(INT(E42)&gt;=25,100,"Введите целое число")))),"Введите целое число или '-'"))</f>
        <v>100</v>
      </c>
      <c r="G42" s="89">
        <v>3.18</v>
      </c>
      <c r="H42" s="90">
        <f t="array" ref="H42">IF(G42=0,0,IF(MIN(IF(Атлет!$C$5:$C$104&gt;=G42,Атлет!$C$5:$C$104))=0,0,VLOOKUP(MIN(IF(Атлет!$C$5:$C$104&gt;=G42,Атлет!$C$5:$C$104)),Атлет!$C$5:$I$104,7)))</f>
        <v>63</v>
      </c>
      <c r="I42" s="91">
        <v>38</v>
      </c>
      <c r="J42" s="92">
        <f>IF(I42="-",0,IFERROR(IFERROR(VLOOKUP(I42,Атлет!$D$5:$I$104,6,FALSE),(IF(I42&lt;1,0,IF(INT(I42)&gt;=40,100,"Введите целое число")))),"Введите целое число или '-'"))</f>
        <v>94</v>
      </c>
      <c r="K42" s="103">
        <v>28</v>
      </c>
      <c r="L42" s="90">
        <f>IF(K42="-",0,IFERROR(IFERROR(VLOOKUP(K42,Атлет!$E$5:$I$104,5,FALSE),(IF(K42&lt;1,0,IF(INT(K42)&gt;=30,100,"Введите целое число")))),"Введите целое число или '-'"))</f>
        <v>96</v>
      </c>
      <c r="M42" s="94">
        <v>38</v>
      </c>
      <c r="N42" s="92">
        <f>IF(M42="-",0,IFERROR(IFERROR(VLOOKUP(M42,Атлет!$F$5:$I$104,4,FALSE),(IF(M42&lt;1,0,IF(INT(M42)&gt;=90,100,"Введите целое число")))),"Введите целое число или '-'"))</f>
        <v>46</v>
      </c>
      <c r="O42" s="93">
        <v>38</v>
      </c>
      <c r="P42" s="90">
        <f>IF(O42="-",0,IFERROR(IFERROR(VLOOKUP(O42,Атлет!$G$5:$I$104,3,FALSE),(IF(O42&lt;1,0,IF(INT(O42)&gt;=100,100,"Введите целое число")))),"Введите целое число или '-'"))</f>
        <v>38</v>
      </c>
      <c r="Q42" s="95">
        <v>41.1</v>
      </c>
      <c r="R42" s="88">
        <f t="array" ref="R42">IF(Q42=0,0,IF(MIN(IF(Атлет!$H$5:$H$104&gt;=Q42,Атлет!$H$5:$H$104))=0,0,VLOOKUP(MIN(IF(Атлет!$H$5:$H$104&gt;=Q42,Атлет!$H$5:$H$104)),Атлет!$H$5:$I$104,2)))</f>
        <v>63</v>
      </c>
      <c r="S42" s="96">
        <f t="shared" si="0"/>
        <v>500</v>
      </c>
      <c r="T42" s="97">
        <f t="shared" si="1"/>
        <v>3</v>
      </c>
    </row>
    <row r="43" spans="1:20" ht="20.100000000000001" customHeight="1" x14ac:dyDescent="0.3">
      <c r="A43" s="84">
        <v>39</v>
      </c>
      <c r="B43" s="9">
        <v>39</v>
      </c>
      <c r="C43" s="100" t="s">
        <v>62</v>
      </c>
      <c r="D43" s="102" t="s">
        <v>125</v>
      </c>
      <c r="E43" s="87">
        <v>31</v>
      </c>
      <c r="F43" s="88">
        <f>IF(E43="-",0,IFERROR(IFERROR(VLOOKUP(E43,Атлет!$B$5:$I$104,8,FALSE),(IF(E43&lt;1,0,IF(INT(E43)&gt;=25,100,"Введите целое число")))),"Введите целое число или '-'"))</f>
        <v>100</v>
      </c>
      <c r="G43" s="89">
        <v>3.2</v>
      </c>
      <c r="H43" s="90">
        <f t="array" ref="H43">IF(G43=0,0,IF(MIN(IF(Атлет!$C$5:$C$104&gt;=G43,Атлет!$C$5:$C$104))=0,0,VLOOKUP(MIN(IF(Атлет!$C$5:$C$104&gt;=G43,Атлет!$C$5:$C$104)),Атлет!$C$5:$I$104,7)))</f>
        <v>62</v>
      </c>
      <c r="I43" s="91">
        <v>39</v>
      </c>
      <c r="J43" s="92">
        <f>IF(I43="-",0,IFERROR(IFERROR(VLOOKUP(I43,Атлет!$D$5:$I$104,6,FALSE),(IF(I43&lt;1,0,IF(INT(I43)&gt;=40,100,"Введите целое число")))),"Введите целое число или '-'"))</f>
        <v>97</v>
      </c>
      <c r="K43" s="93">
        <v>27</v>
      </c>
      <c r="L43" s="90">
        <f>IF(K43="-",0,IFERROR(IFERROR(VLOOKUP(K43,Атлет!$E$5:$I$104,5,FALSE),(IF(K43&lt;1,0,IF(INT(K43)&gt;=30,100,"Введите целое число")))),"Введите целое число или '-'"))</f>
        <v>94</v>
      </c>
      <c r="M43" s="94">
        <v>39</v>
      </c>
      <c r="N43" s="92">
        <f>IF(M43="-",0,IFERROR(IFERROR(VLOOKUP(M43,Атлет!$F$5:$I$104,4,FALSE),(IF(M43&lt;1,0,IF(INT(M43)&gt;=90,100,"Введите целое число")))),"Введите целое число или '-'"))</f>
        <v>48</v>
      </c>
      <c r="O43" s="93">
        <v>41</v>
      </c>
      <c r="P43" s="90">
        <f>IF(O43="-",0,IFERROR(IFERROR(VLOOKUP(O43,Атлет!$G$5:$I$104,3,FALSE),(IF(O43&lt;1,0,IF(INT(O43)&gt;=100,100,"Введите целое число")))),"Введите целое число или '-'"))</f>
        <v>41</v>
      </c>
      <c r="Q43" s="95">
        <v>41.2</v>
      </c>
      <c r="R43" s="88">
        <f t="array" ref="R43">IF(Q43=0,0,IF(MIN(IF(Атлет!$H$5:$H$104&gt;=Q43,Атлет!$H$5:$H$104))=0,0,VLOOKUP(MIN(IF(Атлет!$H$5:$H$104&gt;=Q43,Атлет!$H$5:$H$104)),Атлет!$H$5:$I$104,2)))</f>
        <v>62</v>
      </c>
      <c r="S43" s="96">
        <f t="shared" si="0"/>
        <v>504</v>
      </c>
      <c r="T43" s="97">
        <f t="shared" si="1"/>
        <v>1</v>
      </c>
    </row>
    <row r="44" spans="1:20" ht="20.100000000000001" customHeight="1" x14ac:dyDescent="0.2">
      <c r="A44" s="84">
        <v>40</v>
      </c>
      <c r="B44" s="98">
        <v>40</v>
      </c>
      <c r="C44" s="85" t="s">
        <v>55</v>
      </c>
      <c r="D44" s="86" t="s">
        <v>129</v>
      </c>
      <c r="E44" s="87">
        <v>32</v>
      </c>
      <c r="F44" s="88">
        <f>IF(E44="-",0,IFERROR(IFERROR(VLOOKUP(E44,Атлет!$B$5:$I$104,8,FALSE),(IF(E44&lt;1,0,IF(INT(E44)&gt;=25,100,"Введите целое число")))),"Введите целое число или '-'"))</f>
        <v>100</v>
      </c>
      <c r="G44" s="89">
        <v>3.22</v>
      </c>
      <c r="H44" s="90">
        <f t="array" ref="H44">IF(G44=0,0,IF(MIN(IF(Атлет!$C$5:$C$104&gt;=G44,Атлет!$C$5:$C$104))=0,0,VLOOKUP(MIN(IF(Атлет!$C$5:$C$104&gt;=G44,Атлет!$C$5:$C$104)),Атлет!$C$5:$I$104,7)))</f>
        <v>61</v>
      </c>
      <c r="I44" s="91">
        <v>40</v>
      </c>
      <c r="J44" s="92">
        <f>IF(I44="-",0,IFERROR(IFERROR(VLOOKUP(I44,Атлет!$D$5:$I$104,6,FALSE),(IF(I44&lt;1,0,IF(INT(I44)&gt;=40,100,"Введите целое число")))),"Введите целое число или '-'"))</f>
        <v>100</v>
      </c>
      <c r="K44" s="103">
        <v>26</v>
      </c>
      <c r="L44" s="90">
        <f>IF(K44="-",0,IFERROR(IFERROR(VLOOKUP(K44,Атлет!$E$5:$I$104,5,FALSE),(IF(K44&lt;1,0,IF(INT(K44)&gt;=30,100,"Введите целое число")))),"Введите целое число или '-'"))</f>
        <v>92</v>
      </c>
      <c r="M44" s="87">
        <v>40</v>
      </c>
      <c r="N44" s="92">
        <f>IF(M44="-",0,IFERROR(IFERROR(VLOOKUP(M44,Атлет!$F$5:$I$104,4,FALSE),(IF(M44&lt;1,0,IF(INT(M44)&gt;=90,100,"Введите целое число")))),"Введите целое число или '-'"))</f>
        <v>50</v>
      </c>
      <c r="O44" s="93">
        <v>40</v>
      </c>
      <c r="P44" s="90">
        <f>IF(O44="-",0,IFERROR(IFERROR(VLOOKUP(O44,Атлет!$G$5:$I$104,3,FALSE),(IF(O44&lt;1,0,IF(INT(O44)&gt;=100,100,"Введите целое число")))),"Введите целое число или '-'"))</f>
        <v>40</v>
      </c>
      <c r="Q44" s="95">
        <v>41.3</v>
      </c>
      <c r="R44" s="88">
        <f t="array" ref="R44">IF(Q44=0,0,IF(MIN(IF(Атлет!$H$5:$H$104&gt;=Q44,Атлет!$H$5:$H$104))=0,0,VLOOKUP(MIN(IF(Атлет!$H$5:$H$104&gt;=Q44,Атлет!$H$5:$H$104)),Атлет!$H$5:$I$104,2)))</f>
        <v>61</v>
      </c>
      <c r="S44" s="96">
        <f t="shared" si="0"/>
        <v>504</v>
      </c>
      <c r="T44" s="97">
        <f t="shared" si="1"/>
        <v>1</v>
      </c>
    </row>
    <row r="45" spans="1:20" ht="20.100000000000001" customHeight="1" x14ac:dyDescent="0.2">
      <c r="A45" s="84">
        <v>41</v>
      </c>
      <c r="B45" s="9">
        <v>41</v>
      </c>
      <c r="C45" s="85" t="s">
        <v>28</v>
      </c>
      <c r="D45" s="86" t="s">
        <v>127</v>
      </c>
      <c r="E45" s="87">
        <v>33</v>
      </c>
      <c r="F45" s="88">
        <f>IF(E45="-",0,IFERROR(IFERROR(VLOOKUP(E45,Атлет!$B$5:$I$104,8,FALSE),(IF(E45&lt;1,0,IF(INT(E45)&gt;=25,100,"Введите целое число")))),"Введите целое число или '-'"))</f>
        <v>100</v>
      </c>
      <c r="G45" s="89">
        <v>3.24</v>
      </c>
      <c r="H45" s="90">
        <f t="array" ref="H45">IF(G45=0,0,IF(MIN(IF(Атлет!$C$5:$C$104&gt;=G45,Атлет!$C$5:$C$104))=0,0,VLOOKUP(MIN(IF(Атлет!$C$5:$C$104&gt;=G45,Атлет!$C$5:$C$104)),Атлет!$C$5:$I$104,7)))</f>
        <v>60</v>
      </c>
      <c r="I45" s="91">
        <v>39</v>
      </c>
      <c r="J45" s="92">
        <f>IF(I45="-",0,IFERROR(IFERROR(VLOOKUP(I45,Атлет!$D$5:$I$104,6,FALSE),(IF(I45&lt;1,0,IF(INT(I45)&gt;=40,100,"Введите целое число")))),"Введите целое число или '-'"))</f>
        <v>97</v>
      </c>
      <c r="K45" s="103">
        <v>25</v>
      </c>
      <c r="L45" s="90">
        <f>IF(K45="-",0,IFERROR(IFERROR(VLOOKUP(K45,Атлет!$E$5:$I$104,5,FALSE),(IF(K45&lt;1,0,IF(INT(K45)&gt;=30,100,"Введите целое число")))),"Введите целое число или '-'"))</f>
        <v>90</v>
      </c>
      <c r="M45" s="94">
        <v>41</v>
      </c>
      <c r="N45" s="92">
        <f>IF(M45="-",0,IFERROR(IFERROR(VLOOKUP(M45,Атлет!$F$5:$I$104,4,FALSE),(IF(M45&lt;1,0,IF(INT(M45)&gt;=90,100,"Введите целое число")))),"Введите целое число или '-'"))</f>
        <v>51</v>
      </c>
      <c r="O45" s="93">
        <v>41</v>
      </c>
      <c r="P45" s="90">
        <f>IF(O45="-",0,IFERROR(IFERROR(VLOOKUP(O45,Атлет!$G$5:$I$104,3,FALSE),(IF(O45&lt;1,0,IF(INT(O45)&gt;=100,100,"Введите целое число")))),"Введите целое число или '-'"))</f>
        <v>41</v>
      </c>
      <c r="Q45" s="95">
        <v>41.4</v>
      </c>
      <c r="R45" s="88">
        <f t="array" ref="R45">IF(Q45=0,0,IF(MIN(IF(Атлет!$H$5:$H$104&gt;=Q45,Атлет!$H$5:$H$104))=0,0,VLOOKUP(MIN(IF(Атлет!$H$5:$H$104&gt;=Q45,Атлет!$H$5:$H$104)),Атлет!$H$5:$I$104,2)))</f>
        <v>60</v>
      </c>
      <c r="S45" s="96">
        <f t="shared" si="0"/>
        <v>499</v>
      </c>
      <c r="T45" s="97">
        <f t="shared" si="1"/>
        <v>4</v>
      </c>
    </row>
    <row r="46" spans="1:20" ht="20.100000000000001" customHeight="1" x14ac:dyDescent="0.2">
      <c r="A46" s="84">
        <v>42</v>
      </c>
      <c r="B46" s="98">
        <v>42</v>
      </c>
      <c r="C46" s="85" t="s">
        <v>36</v>
      </c>
      <c r="D46" s="86" t="s">
        <v>128</v>
      </c>
      <c r="E46" s="87">
        <v>34</v>
      </c>
      <c r="F46" s="88">
        <f>IF(E46="-",0,IFERROR(IFERROR(VLOOKUP(E46,Атлет!$B$5:$I$104,8,FALSE),(IF(E46&lt;1,0,IF(INT(E46)&gt;=25,100,"Введите целое число")))),"Введите целое число или '-'"))</f>
        <v>100</v>
      </c>
      <c r="G46" s="89">
        <v>3.26</v>
      </c>
      <c r="H46" s="90">
        <f t="array" ref="H46">IF(G46=0,0,IF(MIN(IF(Атлет!$C$5:$C$104&gt;=G46,Атлет!$C$5:$C$104))=0,0,VLOOKUP(MIN(IF(Атлет!$C$5:$C$104&gt;=G46,Атлет!$C$5:$C$104)),Атлет!$C$5:$I$104,7)))</f>
        <v>59</v>
      </c>
      <c r="I46" s="91">
        <v>38</v>
      </c>
      <c r="J46" s="92">
        <f>IF(I46="-",0,IFERROR(IFERROR(VLOOKUP(I46,Атлет!$D$5:$I$104,6,FALSE),(IF(I46&lt;1,0,IF(INT(I46)&gt;=40,100,"Введите целое число")))),"Введите целое число или '-'"))</f>
        <v>94</v>
      </c>
      <c r="K46" s="93">
        <v>24</v>
      </c>
      <c r="L46" s="90">
        <f>IF(K46="-",0,IFERROR(IFERROR(VLOOKUP(K46,Атлет!$E$5:$I$104,5,FALSE),(IF(K46&lt;1,0,IF(INT(K46)&gt;=30,100,"Введите целое число")))),"Введите целое число или '-'"))</f>
        <v>88</v>
      </c>
      <c r="M46" s="94">
        <v>42</v>
      </c>
      <c r="N46" s="92">
        <f>IF(M46="-",0,IFERROR(IFERROR(VLOOKUP(M46,Атлет!$F$5:$I$104,4,FALSE),(IF(M46&lt;1,0,IF(INT(M46)&gt;=90,100,"Введите целое число")))),"Введите целое число или '-'"))</f>
        <v>52</v>
      </c>
      <c r="O46" s="93">
        <v>42</v>
      </c>
      <c r="P46" s="90">
        <f>IF(O46="-",0,IFERROR(IFERROR(VLOOKUP(O46,Атлет!$G$5:$I$104,3,FALSE),(IF(O46&lt;1,0,IF(INT(O46)&gt;=100,100,"Введите целое число")))),"Введите целое число или '-'"))</f>
        <v>42</v>
      </c>
      <c r="Q46" s="95">
        <v>41.5</v>
      </c>
      <c r="R46" s="88">
        <f t="array" ref="R46">IF(Q46=0,0,IF(MIN(IF(Атлет!$H$5:$H$104&gt;=Q46,Атлет!$H$5:$H$104))=0,0,VLOOKUP(MIN(IF(Атлет!$H$5:$H$104&gt;=Q46,Атлет!$H$5:$H$104)),Атлет!$H$5:$I$104,2)))</f>
        <v>59</v>
      </c>
      <c r="S46" s="96">
        <f t="shared" si="0"/>
        <v>494</v>
      </c>
      <c r="T46" s="97">
        <f t="shared" si="1"/>
        <v>7</v>
      </c>
    </row>
    <row r="47" spans="1:20" ht="20.100000000000001" customHeight="1" x14ac:dyDescent="0.3">
      <c r="A47" s="84">
        <v>43</v>
      </c>
      <c r="B47" s="9">
        <v>43</v>
      </c>
      <c r="C47" s="100" t="s">
        <v>78</v>
      </c>
      <c r="D47" s="86" t="s">
        <v>130</v>
      </c>
      <c r="E47" s="87">
        <v>35</v>
      </c>
      <c r="F47" s="88">
        <f>IF(E47="-",0,IFERROR(IFERROR(VLOOKUP(E47,Атлет!$B$5:$I$104,8,FALSE),(IF(E47&lt;1,0,IF(INT(E47)&gt;=25,100,"Введите целое число")))),"Введите целое число или '-'"))</f>
        <v>100</v>
      </c>
      <c r="G47" s="89">
        <v>3.28</v>
      </c>
      <c r="H47" s="90">
        <f t="array" ref="H47">IF(G47=0,0,IF(MIN(IF(Атлет!$C$5:$C$104&gt;=G47,Атлет!$C$5:$C$104))=0,0,VLOOKUP(MIN(IF(Атлет!$C$5:$C$104&gt;=G47,Атлет!$C$5:$C$104)),Атлет!$C$5:$I$104,7)))</f>
        <v>58</v>
      </c>
      <c r="I47" s="91">
        <v>37</v>
      </c>
      <c r="J47" s="92">
        <f>IF(I47="-",0,IFERROR(IFERROR(VLOOKUP(I47,Атлет!$D$5:$I$104,6,FALSE),(IF(I47&lt;1,0,IF(INT(I47)&gt;=40,100,"Введите целое число")))),"Введите целое число или '-'"))</f>
        <v>91</v>
      </c>
      <c r="K47" s="103">
        <v>23</v>
      </c>
      <c r="L47" s="90">
        <f>IF(K47="-",0,IFERROR(IFERROR(VLOOKUP(K47,Атлет!$E$5:$I$104,5,FALSE),(IF(K47&lt;1,0,IF(INT(K47)&gt;=30,100,"Введите целое число")))),"Введите целое число или '-'"))</f>
        <v>86</v>
      </c>
      <c r="M47" s="87">
        <v>43</v>
      </c>
      <c r="N47" s="92">
        <f>IF(M47="-",0,IFERROR(IFERROR(VLOOKUP(M47,Атлет!$F$5:$I$104,4,FALSE),(IF(M47&lt;1,0,IF(INT(M47)&gt;=90,100,"Введите целое число")))),"Введите целое число или '-'"))</f>
        <v>53</v>
      </c>
      <c r="O47" s="93">
        <v>43</v>
      </c>
      <c r="P47" s="90">
        <f>IF(O47="-",0,IFERROR(IFERROR(VLOOKUP(O47,Атлет!$G$5:$I$104,3,FALSE),(IF(O47&lt;1,0,IF(INT(O47)&gt;=100,100,"Введите целое число")))),"Введите целое число или '-'"))</f>
        <v>43</v>
      </c>
      <c r="Q47" s="95">
        <v>42</v>
      </c>
      <c r="R47" s="88">
        <f t="array" ref="R47">IF(Q47=0,0,IF(MIN(IF(Атлет!$H$5:$H$104&gt;=Q47,Атлет!$H$5:$H$104))=0,0,VLOOKUP(MIN(IF(Атлет!$H$5:$H$104&gt;=Q47,Атлет!$H$5:$H$104)),Атлет!$H$5:$I$104,2)))</f>
        <v>58</v>
      </c>
      <c r="S47" s="96">
        <f t="shared" si="0"/>
        <v>489</v>
      </c>
      <c r="T47" s="97">
        <f t="shared" si="1"/>
        <v>9</v>
      </c>
    </row>
    <row r="48" spans="1:20" ht="20.100000000000001" customHeight="1" x14ac:dyDescent="0.3">
      <c r="A48" s="84">
        <v>44</v>
      </c>
      <c r="B48" s="98">
        <v>44</v>
      </c>
      <c r="C48" s="100" t="s">
        <v>58</v>
      </c>
      <c r="D48" s="86" t="s">
        <v>131</v>
      </c>
      <c r="E48" s="87">
        <v>33</v>
      </c>
      <c r="F48" s="88">
        <f>IF(E48="-",0,IFERROR(IFERROR(VLOOKUP(E48,Атлет!$B$5:$I$104,8,FALSE),(IF(E48&lt;1,0,IF(INT(E48)&gt;=25,100,"Введите целое число")))),"Введите целое число или '-'"))</f>
        <v>100</v>
      </c>
      <c r="G48" s="89">
        <v>3.3</v>
      </c>
      <c r="H48" s="90">
        <f t="array" ref="H48">IF(G48=0,0,IF(MIN(IF(Атлет!$C$5:$C$104&gt;=G48,Атлет!$C$5:$C$104))=0,0,VLOOKUP(MIN(IF(Атлет!$C$5:$C$104&gt;=G48,Атлет!$C$5:$C$104)),Атлет!$C$5:$I$104,7)))</f>
        <v>57</v>
      </c>
      <c r="I48" s="91">
        <v>36</v>
      </c>
      <c r="J48" s="92">
        <f>IF(I48="-",0,IFERROR(IFERROR(VLOOKUP(I48,Атлет!$D$5:$I$104,6,FALSE),(IF(I48&lt;1,0,IF(INT(I48)&gt;=40,100,"Введите целое число")))),"Введите целое число или '-'"))</f>
        <v>88</v>
      </c>
      <c r="K48" s="103">
        <v>22</v>
      </c>
      <c r="L48" s="90">
        <f>IF(K48="-",0,IFERROR(IFERROR(VLOOKUP(K48,Атлет!$E$5:$I$104,5,FALSE),(IF(K48&lt;1,0,IF(INT(K48)&gt;=30,100,"Введите целое число")))),"Введите целое число или '-'"))</f>
        <v>84</v>
      </c>
      <c r="M48" s="94">
        <v>44</v>
      </c>
      <c r="N48" s="92">
        <f>IF(M48="-",0,IFERROR(IFERROR(VLOOKUP(M48,Атлет!$F$5:$I$104,4,FALSE),(IF(M48&lt;1,0,IF(INT(M48)&gt;=90,100,"Введите целое число")))),"Введите целое число или '-'"))</f>
        <v>54</v>
      </c>
      <c r="O48" s="93">
        <v>44</v>
      </c>
      <c r="P48" s="90">
        <f>IF(O48="-",0,IFERROR(IFERROR(VLOOKUP(O48,Атлет!$G$5:$I$104,3,FALSE),(IF(O48&lt;1,0,IF(INT(O48)&gt;=100,100,"Введите целое число")))),"Введите целое число или '-'"))</f>
        <v>44</v>
      </c>
      <c r="Q48" s="95">
        <v>42.1</v>
      </c>
      <c r="R48" s="88">
        <f t="array" ref="R48">IF(Q48=0,0,IF(MIN(IF(Атлет!$H$5:$H$104&gt;=Q48,Атлет!$H$5:$H$104))=0,0,VLOOKUP(MIN(IF(Атлет!$H$5:$H$104&gt;=Q48,Атлет!$H$5:$H$104)),Атлет!$H$5:$I$104,2)))</f>
        <v>57</v>
      </c>
      <c r="S48" s="96">
        <f t="shared" si="0"/>
        <v>484</v>
      </c>
      <c r="T48" s="97">
        <f t="shared" si="1"/>
        <v>11</v>
      </c>
    </row>
    <row r="49" spans="1:20" ht="20.100000000000001" customHeight="1" x14ac:dyDescent="0.2">
      <c r="A49" s="84">
        <v>45</v>
      </c>
      <c r="B49" s="9">
        <v>45</v>
      </c>
      <c r="C49" s="85" t="s">
        <v>40</v>
      </c>
      <c r="D49" s="101"/>
      <c r="E49" s="87">
        <v>32</v>
      </c>
      <c r="F49" s="88">
        <f>IF(E49="-",0,IFERROR(IFERROR(VLOOKUP(E49,Атлет!$B$5:$I$104,8,FALSE),(IF(E49&lt;1,0,IF(INT(E49)&gt;=25,100,"Введите целое число")))),"Введите целое число или '-'"))</f>
        <v>100</v>
      </c>
      <c r="G49" s="89">
        <v>3.32</v>
      </c>
      <c r="H49" s="90">
        <f t="array" ref="H49">IF(G49=0,0,IF(MIN(IF(Атлет!$C$5:$C$104&gt;=G49,Атлет!$C$5:$C$104))=0,0,VLOOKUP(MIN(IF(Атлет!$C$5:$C$104&gt;=G49,Атлет!$C$5:$C$104)),Атлет!$C$5:$I$104,7)))</f>
        <v>56</v>
      </c>
      <c r="I49" s="91">
        <v>35</v>
      </c>
      <c r="J49" s="92">
        <f>IF(I49="-",0,IFERROR(IFERROR(VLOOKUP(I49,Атлет!$D$5:$I$104,6,FALSE),(IF(I49&lt;1,0,IF(INT(I49)&gt;=40,100,"Введите целое число")))),"Введите целое число или '-'"))</f>
        <v>85</v>
      </c>
      <c r="K49" s="93">
        <v>21</v>
      </c>
      <c r="L49" s="90">
        <f>IF(K49="-",0,IFERROR(IFERROR(VLOOKUP(K49,Атлет!$E$5:$I$104,5,FALSE),(IF(K49&lt;1,0,IF(INT(K49)&gt;=30,100,"Введите целое число")))),"Введите целое число или '-'"))</f>
        <v>82</v>
      </c>
      <c r="M49" s="94">
        <v>45</v>
      </c>
      <c r="N49" s="92">
        <f>IF(M49="-",0,IFERROR(IFERROR(VLOOKUP(M49,Атлет!$F$5:$I$104,4,FALSE),(IF(M49&lt;1,0,IF(INT(M49)&gt;=90,100,"Введите целое число")))),"Введите целое число или '-'"))</f>
        <v>55</v>
      </c>
      <c r="O49" s="93">
        <v>45</v>
      </c>
      <c r="P49" s="90">
        <f>IF(O49="-",0,IFERROR(IFERROR(VLOOKUP(O49,Атлет!$G$5:$I$104,3,FALSE),(IF(O49&lt;1,0,IF(INT(O49)&gt;=100,100,"Введите целое число")))),"Введите целое число или '-'"))</f>
        <v>45</v>
      </c>
      <c r="Q49" s="95">
        <v>42.2</v>
      </c>
      <c r="R49" s="88">
        <f t="array" ref="R49">IF(Q49=0,0,IF(MIN(IF(Атлет!$H$5:$H$104&gt;=Q49,Атлет!$H$5:$H$104))=0,0,VLOOKUP(MIN(IF(Атлет!$H$5:$H$104&gt;=Q49,Атлет!$H$5:$H$104)),Атлет!$H$5:$I$104,2)))</f>
        <v>56</v>
      </c>
      <c r="S49" s="96">
        <f t="shared" si="0"/>
        <v>479</v>
      </c>
      <c r="T49" s="97">
        <f t="shared" si="1"/>
        <v>13</v>
      </c>
    </row>
    <row r="50" spans="1:20" ht="20.100000000000001" customHeight="1" x14ac:dyDescent="0.3">
      <c r="A50" s="84">
        <v>46</v>
      </c>
      <c r="B50" s="98">
        <v>46</v>
      </c>
      <c r="C50" s="100" t="s">
        <v>59</v>
      </c>
      <c r="D50" s="101"/>
      <c r="E50" s="87">
        <v>31</v>
      </c>
      <c r="F50" s="88">
        <f>IF(E50="-",0,IFERROR(IFERROR(VLOOKUP(E50,Атлет!$B$5:$I$104,8,FALSE),(IF(E50&lt;1,0,IF(INT(E50)&gt;=25,100,"Введите целое число")))),"Введите целое число или '-'"))</f>
        <v>100</v>
      </c>
      <c r="G50" s="89">
        <v>3.34</v>
      </c>
      <c r="H50" s="90">
        <f t="array" ref="H50">IF(G50=0,0,IF(MIN(IF(Атлет!$C$5:$C$104&gt;=G50,Атлет!$C$5:$C$104))=0,0,VLOOKUP(MIN(IF(Атлет!$C$5:$C$104&gt;=G50,Атлет!$C$5:$C$104)),Атлет!$C$5:$I$104,7)))</f>
        <v>55</v>
      </c>
      <c r="I50" s="91">
        <v>34</v>
      </c>
      <c r="J50" s="92">
        <f>IF(I50="-",0,IFERROR(IFERROR(VLOOKUP(I50,Атлет!$D$5:$I$104,6,FALSE),(IF(I50&lt;1,0,IF(INT(I50)&gt;=40,100,"Введите целое число")))),"Введите целое число или '-'"))</f>
        <v>82</v>
      </c>
      <c r="K50" s="103">
        <v>20</v>
      </c>
      <c r="L50" s="90">
        <f>IF(K50="-",0,IFERROR(IFERROR(VLOOKUP(K50,Атлет!$E$5:$I$104,5,FALSE),(IF(K50&lt;1,0,IF(INT(K50)&gt;=30,100,"Введите целое число")))),"Введите целое число или '-'"))</f>
        <v>79</v>
      </c>
      <c r="M50" s="87">
        <v>46</v>
      </c>
      <c r="N50" s="92">
        <f>IF(M50="-",0,IFERROR(IFERROR(VLOOKUP(M50,Атлет!$F$5:$I$104,4,FALSE),(IF(M50&lt;1,0,IF(INT(M50)&gt;=90,100,"Введите целое число")))),"Введите целое число или '-'"))</f>
        <v>56</v>
      </c>
      <c r="O50" s="93">
        <v>46</v>
      </c>
      <c r="P50" s="90">
        <f>IF(O50="-",0,IFERROR(IFERROR(VLOOKUP(O50,Атлет!$G$5:$I$104,3,FALSE),(IF(O50&lt;1,0,IF(INT(O50)&gt;=100,100,"Введите целое число")))),"Введите целое число или '-'"))</f>
        <v>46</v>
      </c>
      <c r="Q50" s="95">
        <v>42.3</v>
      </c>
      <c r="R50" s="88">
        <f t="array" ref="R50">IF(Q50=0,0,IF(MIN(IF(Атлет!$H$5:$H$104&gt;=Q50,Атлет!$H$5:$H$104))=0,0,VLOOKUP(MIN(IF(Атлет!$H$5:$H$104&gt;=Q50,Атлет!$H$5:$H$104)),Атлет!$H$5:$I$104,2)))</f>
        <v>55</v>
      </c>
      <c r="S50" s="96">
        <f t="shared" si="0"/>
        <v>473</v>
      </c>
      <c r="T50" s="97">
        <f t="shared" si="1"/>
        <v>15</v>
      </c>
    </row>
    <row r="51" spans="1:20" ht="20.100000000000001" customHeight="1" x14ac:dyDescent="0.2">
      <c r="A51" s="84">
        <v>47</v>
      </c>
      <c r="B51" s="9">
        <v>47</v>
      </c>
      <c r="C51" s="99" t="s">
        <v>94</v>
      </c>
      <c r="D51" s="101"/>
      <c r="E51" s="87">
        <v>30</v>
      </c>
      <c r="F51" s="88">
        <f>IF(E51="-",0,IFERROR(IFERROR(VLOOKUP(E51,Атлет!$B$5:$I$104,8,FALSE),(IF(E51&lt;1,0,IF(INT(E51)&gt;=25,100,"Введите целое число")))),"Введите целое число или '-'"))</f>
        <v>100</v>
      </c>
      <c r="G51" s="89">
        <v>3.36</v>
      </c>
      <c r="H51" s="90">
        <f t="array" ref="H51">IF(G51=0,0,IF(MIN(IF(Атлет!$C$5:$C$104&gt;=G51,Атлет!$C$5:$C$104))=0,0,VLOOKUP(MIN(IF(Атлет!$C$5:$C$104&gt;=G51,Атлет!$C$5:$C$104)),Атлет!$C$5:$I$104,7)))</f>
        <v>54</v>
      </c>
      <c r="I51" s="91">
        <v>33</v>
      </c>
      <c r="J51" s="92">
        <f>IF(I51="-",0,IFERROR(IFERROR(VLOOKUP(I51,Атлет!$D$5:$I$104,6,FALSE),(IF(I51&lt;1,0,IF(INT(I51)&gt;=40,100,"Введите целое число")))),"Введите целое число или '-'"))</f>
        <v>79</v>
      </c>
      <c r="K51" s="103">
        <v>19</v>
      </c>
      <c r="L51" s="90">
        <f>IF(K51="-",0,IFERROR(IFERROR(VLOOKUP(K51,Атлет!$E$5:$I$104,5,FALSE),(IF(K51&lt;1,0,IF(INT(K51)&gt;=30,100,"Введите целое число")))),"Введите целое число или '-'"))</f>
        <v>76</v>
      </c>
      <c r="M51" s="94">
        <v>47</v>
      </c>
      <c r="N51" s="92">
        <f>IF(M51="-",0,IFERROR(IFERROR(VLOOKUP(M51,Атлет!$F$5:$I$104,4,FALSE),(IF(M51&lt;1,0,IF(INT(M51)&gt;=90,100,"Введите целое число")))),"Введите целое число или '-'"))</f>
        <v>57</v>
      </c>
      <c r="O51" s="93">
        <v>47</v>
      </c>
      <c r="P51" s="90">
        <f>IF(O51="-",0,IFERROR(IFERROR(VLOOKUP(O51,Атлет!$G$5:$I$104,3,FALSE),(IF(O51&lt;1,0,IF(INT(O51)&gt;=100,100,"Введите целое число")))),"Введите целое число или '-'"))</f>
        <v>47</v>
      </c>
      <c r="Q51" s="95">
        <v>42.4</v>
      </c>
      <c r="R51" s="88">
        <f t="array" ref="R51">IF(Q51=0,0,IF(MIN(IF(Атлет!$H$5:$H$104&gt;=Q51,Атлет!$H$5:$H$104))=0,0,VLOOKUP(MIN(IF(Атлет!$H$5:$H$104&gt;=Q51,Атлет!$H$5:$H$104)),Атлет!$H$5:$I$104,2)))</f>
        <v>54</v>
      </c>
      <c r="S51" s="96">
        <f t="shared" si="0"/>
        <v>467</v>
      </c>
      <c r="T51" s="97">
        <f t="shared" si="1"/>
        <v>17</v>
      </c>
    </row>
    <row r="52" spans="1:20" ht="20.100000000000001" customHeight="1" x14ac:dyDescent="0.3">
      <c r="A52" s="84">
        <v>48</v>
      </c>
      <c r="B52" s="98">
        <v>48</v>
      </c>
      <c r="C52" s="100" t="s">
        <v>60</v>
      </c>
      <c r="D52" s="101"/>
      <c r="E52" s="87">
        <v>29</v>
      </c>
      <c r="F52" s="88">
        <f>IF(E52="-",0,IFERROR(IFERROR(VLOOKUP(E52,Атлет!$B$5:$I$104,8,FALSE),(IF(E52&lt;1,0,IF(INT(E52)&gt;=25,100,"Введите целое число")))),"Введите целое число или '-'"))</f>
        <v>100</v>
      </c>
      <c r="G52" s="89">
        <v>3.38</v>
      </c>
      <c r="H52" s="90">
        <f t="array" ref="H52">IF(G52=0,0,IF(MIN(IF(Атлет!$C$5:$C$104&gt;=G52,Атлет!$C$5:$C$104))=0,0,VLOOKUP(MIN(IF(Атлет!$C$5:$C$104&gt;=G52,Атлет!$C$5:$C$104)),Атлет!$C$5:$I$104,7)))</f>
        <v>53</v>
      </c>
      <c r="I52" s="91">
        <v>32</v>
      </c>
      <c r="J52" s="92">
        <f>IF(I52="-",0,IFERROR(IFERROR(VLOOKUP(I52,Атлет!$D$5:$I$104,6,FALSE),(IF(I52&lt;1,0,IF(INT(I52)&gt;=40,100,"Введите целое число")))),"Введите целое число или '-'"))</f>
        <v>76</v>
      </c>
      <c r="K52" s="93">
        <v>18</v>
      </c>
      <c r="L52" s="90">
        <f>IF(K52="-",0,IFERROR(IFERROR(VLOOKUP(K52,Атлет!$E$5:$I$104,5,FALSE),(IF(K52&lt;1,0,IF(INT(K52)&gt;=30,100,"Введите целое число")))),"Введите целое число или '-'"))</f>
        <v>73</v>
      </c>
      <c r="M52" s="94">
        <v>48</v>
      </c>
      <c r="N52" s="92">
        <f>IF(M52="-",0,IFERROR(IFERROR(VLOOKUP(M52,Атлет!$F$5:$I$104,4,FALSE),(IF(M52&lt;1,0,IF(INT(M52)&gt;=90,100,"Введите целое число")))),"Введите целое число или '-'"))</f>
        <v>58</v>
      </c>
      <c r="O52" s="93">
        <v>48</v>
      </c>
      <c r="P52" s="90">
        <f>IF(O52="-",0,IFERROR(IFERROR(VLOOKUP(O52,Атлет!$G$5:$I$104,3,FALSE),(IF(O52&lt;1,0,IF(INT(O52)&gt;=100,100,"Введите целое число")))),"Введите целое число или '-'"))</f>
        <v>48</v>
      </c>
      <c r="Q52" s="95">
        <v>42.5</v>
      </c>
      <c r="R52" s="88">
        <f t="array" ref="R52">IF(Q52=0,0,IF(MIN(IF(Атлет!$H$5:$H$104&gt;=Q52,Атлет!$H$5:$H$104))=0,0,VLOOKUP(MIN(IF(Атлет!$H$5:$H$104&gt;=Q52,Атлет!$H$5:$H$104)),Атлет!$H$5:$I$104,2)))</f>
        <v>53</v>
      </c>
      <c r="S52" s="96">
        <f t="shared" si="0"/>
        <v>461</v>
      </c>
      <c r="T52" s="97">
        <f t="shared" si="1"/>
        <v>18</v>
      </c>
    </row>
    <row r="53" spans="1:20" ht="20.100000000000001" customHeight="1" x14ac:dyDescent="0.2">
      <c r="A53" s="84">
        <v>49</v>
      </c>
      <c r="B53" s="9">
        <v>49</v>
      </c>
      <c r="C53" s="99" t="s">
        <v>85</v>
      </c>
      <c r="D53" s="86" t="s">
        <v>133</v>
      </c>
      <c r="E53" s="87">
        <v>28</v>
      </c>
      <c r="F53" s="88">
        <f>IF(E53="-",0,IFERROR(IFERROR(VLOOKUP(E53,Атлет!$B$5:$I$104,8,FALSE),(IF(E53&lt;1,0,IF(INT(E53)&gt;=25,100,"Введите целое число")))),"Введите целое число или '-'"))</f>
        <v>100</v>
      </c>
      <c r="G53" s="89">
        <v>3.4</v>
      </c>
      <c r="H53" s="90">
        <f t="array" ref="H53">IF(G53=0,0,IF(MIN(IF(Атлет!$C$5:$C$104&gt;=G53,Атлет!$C$5:$C$104))=0,0,VLOOKUP(MIN(IF(Атлет!$C$5:$C$104&gt;=G53,Атлет!$C$5:$C$104)),Атлет!$C$5:$I$104,7)))</f>
        <v>52</v>
      </c>
      <c r="I53" s="91">
        <v>31</v>
      </c>
      <c r="J53" s="92">
        <f>IF(I53="-",0,IFERROR(IFERROR(VLOOKUP(I53,Атлет!$D$5:$I$104,6,FALSE),(IF(I53&lt;1,0,IF(INT(I53)&gt;=40,100,"Введите целое число")))),"Введите целое число или '-'"))</f>
        <v>73</v>
      </c>
      <c r="K53" s="103">
        <v>17</v>
      </c>
      <c r="L53" s="90">
        <f>IF(K53="-",0,IFERROR(IFERROR(VLOOKUP(K53,Атлет!$E$5:$I$104,5,FALSE),(IF(K53&lt;1,0,IF(INT(K53)&gt;=30,100,"Введите целое число")))),"Введите целое число или '-'"))</f>
        <v>70</v>
      </c>
      <c r="M53" s="87">
        <v>49</v>
      </c>
      <c r="N53" s="92">
        <f>IF(M53="-",0,IFERROR(IFERROR(VLOOKUP(M53,Атлет!$F$5:$I$104,4,FALSE),(IF(M53&lt;1,0,IF(INT(M53)&gt;=90,100,"Введите целое число")))),"Введите целое число или '-'"))</f>
        <v>59</v>
      </c>
      <c r="O53" s="93">
        <v>49</v>
      </c>
      <c r="P53" s="90">
        <f>IF(O53="-",0,IFERROR(IFERROR(VLOOKUP(O53,Атлет!$G$5:$I$104,3,FALSE),(IF(O53&lt;1,0,IF(INT(O53)&gt;=100,100,"Введите целое число")))),"Введите целое число или '-'"))</f>
        <v>49</v>
      </c>
      <c r="Q53" s="95">
        <v>43</v>
      </c>
      <c r="R53" s="88">
        <f t="array" ref="R53">IF(Q53=0,0,IF(MIN(IF(Атлет!$H$5:$H$104&gt;=Q53,Атлет!$H$5:$H$104))=0,0,VLOOKUP(MIN(IF(Атлет!$H$5:$H$104&gt;=Q53,Атлет!$H$5:$H$104)),Атлет!$H$5:$I$104,2)))</f>
        <v>52</v>
      </c>
      <c r="S53" s="96">
        <f t="shared" si="0"/>
        <v>455</v>
      </c>
      <c r="T53" s="97">
        <f t="shared" si="1"/>
        <v>20</v>
      </c>
    </row>
    <row r="54" spans="1:20" ht="20.100000000000001" customHeight="1" x14ac:dyDescent="0.2">
      <c r="A54" s="84">
        <v>50</v>
      </c>
      <c r="B54" s="98">
        <v>50</v>
      </c>
      <c r="C54" s="85" t="s">
        <v>45</v>
      </c>
      <c r="D54" s="86" t="s">
        <v>133</v>
      </c>
      <c r="E54" s="87">
        <v>27</v>
      </c>
      <c r="F54" s="88">
        <f>IF(E54="-",0,IFERROR(IFERROR(VLOOKUP(E54,Атлет!$B$5:$I$104,8,FALSE),(IF(E54&lt;1,0,IF(INT(E54)&gt;=25,100,"Введите целое число")))),"Введите целое число или '-'"))</f>
        <v>100</v>
      </c>
      <c r="G54" s="89">
        <v>3.42</v>
      </c>
      <c r="H54" s="90">
        <f t="array" ref="H54">IF(G54=0,0,IF(MIN(IF(Атлет!$C$5:$C$104&gt;=G54,Атлет!$C$5:$C$104))=0,0,VLOOKUP(MIN(IF(Атлет!$C$5:$C$104&gt;=G54,Атлет!$C$5:$C$104)),Атлет!$C$5:$I$104,7)))</f>
        <v>51</v>
      </c>
      <c r="I54" s="91">
        <v>30</v>
      </c>
      <c r="J54" s="92">
        <f>IF(I54="-",0,IFERROR(IFERROR(VLOOKUP(I54,Атлет!$D$5:$I$104,6,FALSE),(IF(I54&lt;1,0,IF(INT(I54)&gt;=40,100,"Введите целое число")))),"Введите целое число или '-'"))</f>
        <v>70</v>
      </c>
      <c r="K54" s="103">
        <v>16</v>
      </c>
      <c r="L54" s="90">
        <f>IF(K54="-",0,IFERROR(IFERROR(VLOOKUP(K54,Атлет!$E$5:$I$104,5,FALSE),(IF(K54&lt;1,0,IF(INT(K54)&gt;=30,100,"Введите целое число")))),"Введите целое число или '-'"))</f>
        <v>67</v>
      </c>
      <c r="M54" s="94">
        <v>50</v>
      </c>
      <c r="N54" s="92">
        <f>IF(M54="-",0,IFERROR(IFERROR(VLOOKUP(M54,Атлет!$F$5:$I$104,4,FALSE),(IF(M54&lt;1,0,IF(INT(M54)&gt;=90,100,"Введите целое число")))),"Введите целое число или '-'"))</f>
        <v>60</v>
      </c>
      <c r="O54" s="93">
        <v>50</v>
      </c>
      <c r="P54" s="90">
        <f>IF(O54="-",0,IFERROR(IFERROR(VLOOKUP(O54,Атлет!$G$5:$I$104,3,FALSE),(IF(O54&lt;1,0,IF(INT(O54)&gt;=100,100,"Введите целое число")))),"Введите целое число или '-'"))</f>
        <v>50</v>
      </c>
      <c r="Q54" s="95">
        <v>43.1</v>
      </c>
      <c r="R54" s="88">
        <f t="array" ref="R54">IF(Q54=0,0,IF(MIN(IF(Атлет!$H$5:$H$104&gt;=Q54,Атлет!$H$5:$H$104))=0,0,VLOOKUP(MIN(IF(Атлет!$H$5:$H$104&gt;=Q54,Атлет!$H$5:$H$104)),Атлет!$H$5:$I$104,2)))</f>
        <v>51</v>
      </c>
      <c r="S54" s="96">
        <f t="shared" si="0"/>
        <v>449</v>
      </c>
      <c r="T54" s="97">
        <f t="shared" si="1"/>
        <v>22</v>
      </c>
    </row>
    <row r="55" spans="1:20" ht="20.100000000000001" customHeight="1" x14ac:dyDescent="0.2">
      <c r="A55" s="84">
        <v>51</v>
      </c>
      <c r="B55" s="9">
        <v>51</v>
      </c>
      <c r="C55" s="99" t="s">
        <v>91</v>
      </c>
      <c r="D55" s="86" t="s">
        <v>133</v>
      </c>
      <c r="E55" s="87">
        <v>26</v>
      </c>
      <c r="F55" s="88">
        <f>IF(E55="-",0,IFERROR(IFERROR(VLOOKUP(E55,Атлет!$B$5:$I$104,8,FALSE),(IF(E55&lt;1,0,IF(INT(E55)&gt;=25,100,"Введите целое число")))),"Введите целое число или '-'"))</f>
        <v>100</v>
      </c>
      <c r="G55" s="89">
        <v>3.44</v>
      </c>
      <c r="H55" s="90">
        <f t="array" ref="H55">IF(G55=0,0,IF(MIN(IF(Атлет!$C$5:$C$104&gt;=G55,Атлет!$C$5:$C$104))=0,0,VLOOKUP(MIN(IF(Атлет!$C$5:$C$104&gt;=G55,Атлет!$C$5:$C$104)),Атлет!$C$5:$I$104,7)))</f>
        <v>50</v>
      </c>
      <c r="I55" s="91">
        <v>29</v>
      </c>
      <c r="J55" s="92">
        <f>IF(I55="-",0,IFERROR(IFERROR(VLOOKUP(I55,Атлет!$D$5:$I$104,6,FALSE),(IF(I55&lt;1,0,IF(INT(I55)&gt;=40,100,"Введите целое число")))),"Введите целое число или '-'"))</f>
        <v>67</v>
      </c>
      <c r="K55" s="93">
        <v>15</v>
      </c>
      <c r="L55" s="90">
        <f>IF(K55="-",0,IFERROR(IFERROR(VLOOKUP(K55,Атлет!$E$5:$I$104,5,FALSE),(IF(K55&lt;1,0,IF(INT(K55)&gt;=30,100,"Введите целое число")))),"Введите целое число или '-'"))</f>
        <v>64</v>
      </c>
      <c r="M55" s="94">
        <v>51</v>
      </c>
      <c r="N55" s="92">
        <f>IF(M55="-",0,IFERROR(IFERROR(VLOOKUP(M55,Атлет!$F$5:$I$104,4,FALSE),(IF(M55&lt;1,0,IF(INT(M55)&gt;=90,100,"Введите целое число")))),"Введите целое число или '-'"))</f>
        <v>61</v>
      </c>
      <c r="O55" s="93">
        <v>51</v>
      </c>
      <c r="P55" s="90">
        <f>IF(O55="-",0,IFERROR(IFERROR(VLOOKUP(O55,Атлет!$G$5:$I$104,3,FALSE),(IF(O55&lt;1,0,IF(INT(O55)&gt;=100,100,"Введите целое число")))),"Введите целое число или '-'"))</f>
        <v>51</v>
      </c>
      <c r="Q55" s="95">
        <v>43.2</v>
      </c>
      <c r="R55" s="88">
        <f t="array" ref="R55">IF(Q55=0,0,IF(MIN(IF(Атлет!$H$5:$H$104&gt;=Q55,Атлет!$H$5:$H$104))=0,0,VLOOKUP(MIN(IF(Атлет!$H$5:$H$104&gt;=Q55,Атлет!$H$5:$H$104)),Атлет!$H$5:$I$104,2)))</f>
        <v>50</v>
      </c>
      <c r="S55" s="96">
        <f t="shared" si="0"/>
        <v>443</v>
      </c>
      <c r="T55" s="97">
        <f t="shared" si="1"/>
        <v>23</v>
      </c>
    </row>
    <row r="56" spans="1:20" ht="20.100000000000001" customHeight="1" x14ac:dyDescent="0.2">
      <c r="A56" s="84">
        <v>52</v>
      </c>
      <c r="B56" s="98">
        <v>52</v>
      </c>
      <c r="C56" s="99" t="s">
        <v>102</v>
      </c>
      <c r="D56" s="86" t="s">
        <v>133</v>
      </c>
      <c r="E56" s="87">
        <v>25</v>
      </c>
      <c r="F56" s="88">
        <f>IF(E56="-",0,IFERROR(IFERROR(VLOOKUP(E56,Атлет!$B$5:$I$104,8,FALSE),(IF(E56&lt;1,0,IF(INT(E56)&gt;=25,100,"Введите целое число")))),"Введите целое число или '-'"))</f>
        <v>100</v>
      </c>
      <c r="G56" s="89">
        <v>3.46</v>
      </c>
      <c r="H56" s="90">
        <f t="array" ref="H56">IF(G56=0,0,IF(MIN(IF(Атлет!$C$5:$C$104&gt;=G56,Атлет!$C$5:$C$104))=0,0,VLOOKUP(MIN(IF(Атлет!$C$5:$C$104&gt;=G56,Атлет!$C$5:$C$104)),Атлет!$C$5:$I$104,7)))</f>
        <v>49</v>
      </c>
      <c r="I56" s="91">
        <v>28</v>
      </c>
      <c r="J56" s="92">
        <f>IF(I56="-",0,IFERROR(IFERROR(VLOOKUP(I56,Атлет!$D$5:$I$104,6,FALSE),(IF(I56&lt;1,0,IF(INT(I56)&gt;=40,100,"Введите целое число")))),"Введите целое число или '-'"))</f>
        <v>64</v>
      </c>
      <c r="K56" s="103">
        <v>14</v>
      </c>
      <c r="L56" s="90">
        <f>IF(K56="-",0,IFERROR(IFERROR(VLOOKUP(K56,Атлет!$E$5:$I$104,5,FALSE),(IF(K56&lt;1,0,IF(INT(K56)&gt;=30,100,"Введите целое число")))),"Введите целое число или '-'"))</f>
        <v>60</v>
      </c>
      <c r="M56" s="87">
        <v>52</v>
      </c>
      <c r="N56" s="92">
        <f>IF(M56="-",0,IFERROR(IFERROR(VLOOKUP(M56,Атлет!$F$5:$I$104,4,FALSE),(IF(M56&lt;1,0,IF(INT(M56)&gt;=90,100,"Введите целое число")))),"Введите целое число или '-'"))</f>
        <v>62</v>
      </c>
      <c r="O56" s="93">
        <v>52</v>
      </c>
      <c r="P56" s="90">
        <f>IF(O56="-",0,IFERROR(IFERROR(VLOOKUP(O56,Атлет!$G$5:$I$104,3,FALSE),(IF(O56&lt;1,0,IF(INT(O56)&gt;=100,100,"Введите целое число")))),"Введите целое число или '-'"))</f>
        <v>52</v>
      </c>
      <c r="Q56" s="95">
        <v>43.3</v>
      </c>
      <c r="R56" s="88">
        <f t="array" ref="R56">IF(Q56=0,0,IF(MIN(IF(Атлет!$H$5:$H$104&gt;=Q56,Атлет!$H$5:$H$104))=0,0,VLOOKUP(MIN(IF(Атлет!$H$5:$H$104&gt;=Q56,Атлет!$H$5:$H$104)),Атлет!$H$5:$I$104,2)))</f>
        <v>49</v>
      </c>
      <c r="S56" s="96">
        <f t="shared" si="0"/>
        <v>436</v>
      </c>
      <c r="T56" s="97">
        <f t="shared" si="1"/>
        <v>25</v>
      </c>
    </row>
    <row r="57" spans="1:20" ht="20.100000000000001" customHeight="1" x14ac:dyDescent="0.2">
      <c r="A57" s="84">
        <v>53</v>
      </c>
      <c r="B57" s="9">
        <v>53</v>
      </c>
      <c r="C57" s="99" t="s">
        <v>98</v>
      </c>
      <c r="D57" s="101"/>
      <c r="E57" s="87">
        <v>24</v>
      </c>
      <c r="F57" s="88">
        <f>IF(E57="-",0,IFERROR(IFERROR(VLOOKUP(E57,Атлет!$B$5:$I$104,8,FALSE),(IF(E57&lt;1,0,IF(INT(E57)&gt;=25,100,"Введите целое число")))),"Введите целое число или '-'"))</f>
        <v>96</v>
      </c>
      <c r="G57" s="89">
        <v>3.48</v>
      </c>
      <c r="H57" s="90">
        <f t="array" ref="H57">IF(G57=0,0,IF(MIN(IF(Атлет!$C$5:$C$104&gt;=G57,Атлет!$C$5:$C$104))=0,0,VLOOKUP(MIN(IF(Атлет!$C$5:$C$104&gt;=G57,Атлет!$C$5:$C$104)),Атлет!$C$5:$I$104,7)))</f>
        <v>48</v>
      </c>
      <c r="I57" s="91">
        <v>27</v>
      </c>
      <c r="J57" s="92">
        <f>IF(I57="-",0,IFERROR(IFERROR(VLOOKUP(I57,Атлет!$D$5:$I$104,6,FALSE),(IF(I57&lt;1,0,IF(INT(I57)&gt;=40,100,"Введите целое число")))),"Введите целое число или '-'"))</f>
        <v>61</v>
      </c>
      <c r="K57" s="103">
        <v>13</v>
      </c>
      <c r="L57" s="90">
        <f>IF(K57="-",0,IFERROR(IFERROR(VLOOKUP(K57,Атлет!$E$5:$I$104,5,FALSE),(IF(K57&lt;1,0,IF(INT(K57)&gt;=30,100,"Введите целое число")))),"Введите целое число или '-'"))</f>
        <v>56</v>
      </c>
      <c r="M57" s="94">
        <v>53</v>
      </c>
      <c r="N57" s="92">
        <f>IF(M57="-",0,IFERROR(IFERROR(VLOOKUP(M57,Атлет!$F$5:$I$104,4,FALSE),(IF(M57&lt;1,0,IF(INT(M57)&gt;=90,100,"Введите целое число")))),"Введите целое число или '-'"))</f>
        <v>63</v>
      </c>
      <c r="O57" s="93">
        <v>53</v>
      </c>
      <c r="P57" s="90">
        <f>IF(O57="-",0,IFERROR(IFERROR(VLOOKUP(O57,Атлет!$G$5:$I$104,3,FALSE),(IF(O57&lt;1,0,IF(INT(O57)&gt;=100,100,"Введите целое число")))),"Введите целое число или '-'"))</f>
        <v>53</v>
      </c>
      <c r="Q57" s="95">
        <v>43.4</v>
      </c>
      <c r="R57" s="88">
        <f t="array" ref="R57">IF(Q57=0,0,IF(MIN(IF(Атлет!$H$5:$H$104&gt;=Q57,Атлет!$H$5:$H$104))=0,0,VLOOKUP(MIN(IF(Атлет!$H$5:$H$104&gt;=Q57,Атлет!$H$5:$H$104)),Атлет!$H$5:$I$104,2)))</f>
        <v>48</v>
      </c>
      <c r="S57" s="96">
        <f t="shared" si="0"/>
        <v>425</v>
      </c>
      <c r="T57" s="97">
        <f t="shared" si="1"/>
        <v>28</v>
      </c>
    </row>
    <row r="58" spans="1:20" ht="20.100000000000001" customHeight="1" x14ac:dyDescent="0.2">
      <c r="A58" s="84">
        <v>54</v>
      </c>
      <c r="B58" s="98">
        <v>54</v>
      </c>
      <c r="C58" s="85" t="s">
        <v>31</v>
      </c>
      <c r="D58" s="101"/>
      <c r="E58" s="87">
        <v>23</v>
      </c>
      <c r="F58" s="88">
        <f>IF(E58="-",0,IFERROR(IFERROR(VLOOKUP(E58,Атлет!$B$5:$I$104,8,FALSE),(IF(E58&lt;1,0,IF(INT(E58)&gt;=25,100,"Введите целое число")))),"Введите целое число или '-'"))</f>
        <v>92</v>
      </c>
      <c r="G58" s="89">
        <v>3.5</v>
      </c>
      <c r="H58" s="90">
        <f t="array" ref="H58">IF(G58=0,0,IF(MIN(IF(Атлет!$C$5:$C$104&gt;=G58,Атлет!$C$5:$C$104))=0,0,VLOOKUP(MIN(IF(Атлет!$C$5:$C$104&gt;=G58,Атлет!$C$5:$C$104)),Атлет!$C$5:$I$104,7)))</f>
        <v>47</v>
      </c>
      <c r="I58" s="91">
        <v>26</v>
      </c>
      <c r="J58" s="92">
        <f>IF(I58="-",0,IFERROR(IFERROR(VLOOKUP(I58,Атлет!$D$5:$I$104,6,FALSE),(IF(I58&lt;1,0,IF(INT(I58)&gt;=40,100,"Введите целое число")))),"Введите целое число или '-'"))</f>
        <v>58</v>
      </c>
      <c r="K58" s="93">
        <v>12</v>
      </c>
      <c r="L58" s="90">
        <f>IF(K58="-",0,IFERROR(IFERROR(VLOOKUP(K58,Атлет!$E$5:$I$104,5,FALSE),(IF(K58&lt;1,0,IF(INT(K58)&gt;=30,100,"Введите целое число")))),"Введите целое число или '-'"))</f>
        <v>52</v>
      </c>
      <c r="M58" s="94">
        <v>54</v>
      </c>
      <c r="N58" s="92">
        <f>IF(M58="-",0,IFERROR(IFERROR(VLOOKUP(M58,Атлет!$F$5:$I$104,4,FALSE),(IF(M58&lt;1,0,IF(INT(M58)&gt;=90,100,"Введите целое число")))),"Введите целое число или '-'"))</f>
        <v>64</v>
      </c>
      <c r="O58" s="93">
        <v>54</v>
      </c>
      <c r="P58" s="90">
        <f>IF(O58="-",0,IFERROR(IFERROR(VLOOKUP(O58,Атлет!$G$5:$I$104,3,FALSE),(IF(O58&lt;1,0,IF(INT(O58)&gt;=100,100,"Введите целое число")))),"Введите целое число или '-'"))</f>
        <v>54</v>
      </c>
      <c r="Q58" s="95">
        <v>43.5</v>
      </c>
      <c r="R58" s="88">
        <f t="array" ref="R58">IF(Q58=0,0,IF(MIN(IF(Атлет!$H$5:$H$104&gt;=Q58,Атлет!$H$5:$H$104))=0,0,VLOOKUP(MIN(IF(Атлет!$H$5:$H$104&gt;=Q58,Атлет!$H$5:$H$104)),Атлет!$H$5:$I$104,2)))</f>
        <v>47</v>
      </c>
      <c r="S58" s="96">
        <f t="shared" si="0"/>
        <v>414</v>
      </c>
      <c r="T58" s="97">
        <f t="shared" si="1"/>
        <v>30</v>
      </c>
    </row>
    <row r="59" spans="1:20" ht="20.100000000000001" customHeight="1" x14ac:dyDescent="0.2">
      <c r="A59" s="84">
        <v>55</v>
      </c>
      <c r="B59" s="9">
        <v>55</v>
      </c>
      <c r="C59" s="85" t="s">
        <v>43</v>
      </c>
      <c r="D59" s="101"/>
      <c r="E59" s="87">
        <v>22</v>
      </c>
      <c r="F59" s="88">
        <f>IF(E59="-",0,IFERROR(IFERROR(VLOOKUP(E59,Атлет!$B$5:$I$104,8,FALSE),(IF(E59&lt;1,0,IF(INT(E59)&gt;=25,100,"Введите целое число")))),"Введите целое число или '-'"))</f>
        <v>88</v>
      </c>
      <c r="G59" s="89">
        <v>3.52</v>
      </c>
      <c r="H59" s="90">
        <f t="array" ref="H59">IF(G59=0,0,IF(MIN(IF(Атлет!$C$5:$C$104&gt;=G59,Атлет!$C$5:$C$104))=0,0,VLOOKUP(MIN(IF(Атлет!$C$5:$C$104&gt;=G59,Атлет!$C$5:$C$104)),Атлет!$C$5:$I$104,7)))</f>
        <v>46</v>
      </c>
      <c r="I59" s="91">
        <v>25</v>
      </c>
      <c r="J59" s="92">
        <f>IF(I59="-",0,IFERROR(IFERROR(VLOOKUP(I59,Атлет!$D$5:$I$104,6,FALSE),(IF(I59&lt;1,0,IF(INT(I59)&gt;=40,100,"Введите целое число")))),"Введите целое число или '-'"))</f>
        <v>55</v>
      </c>
      <c r="K59" s="103">
        <v>11</v>
      </c>
      <c r="L59" s="90">
        <f>IF(K59="-",0,IFERROR(IFERROR(VLOOKUP(K59,Атлет!$E$5:$I$104,5,FALSE),(IF(K59&lt;1,0,IF(INT(K59)&gt;=30,100,"Введите целое число")))),"Введите целое число или '-'"))</f>
        <v>48</v>
      </c>
      <c r="M59" s="87">
        <v>55</v>
      </c>
      <c r="N59" s="92">
        <f>IF(M59="-",0,IFERROR(IFERROR(VLOOKUP(M59,Атлет!$F$5:$I$104,4,FALSE),(IF(M59&lt;1,0,IF(INT(M59)&gt;=90,100,"Введите целое число")))),"Введите целое число или '-'"))</f>
        <v>65</v>
      </c>
      <c r="O59" s="93">
        <v>55</v>
      </c>
      <c r="P59" s="90">
        <f>IF(O59="-",0,IFERROR(IFERROR(VLOOKUP(O59,Атлет!$G$5:$I$104,3,FALSE),(IF(O59&lt;1,0,IF(INT(O59)&gt;=100,100,"Введите целое число")))),"Введите целое число или '-'"))</f>
        <v>55</v>
      </c>
      <c r="Q59" s="95">
        <v>44</v>
      </c>
      <c r="R59" s="88">
        <f t="array" ref="R59">IF(Q59=0,0,IF(MIN(IF(Атлет!$H$5:$H$104&gt;=Q59,Атлет!$H$5:$H$104))=0,0,VLOOKUP(MIN(IF(Атлет!$H$5:$H$104&gt;=Q59,Атлет!$H$5:$H$104)),Атлет!$H$5:$I$104,2)))</f>
        <v>46</v>
      </c>
      <c r="S59" s="96">
        <f t="shared" si="0"/>
        <v>403</v>
      </c>
      <c r="T59" s="97">
        <f t="shared" si="1"/>
        <v>32</v>
      </c>
    </row>
    <row r="60" spans="1:20" ht="20.100000000000001" customHeight="1" x14ac:dyDescent="0.3">
      <c r="A60" s="84">
        <v>56</v>
      </c>
      <c r="B60" s="98">
        <v>56</v>
      </c>
      <c r="C60" s="100" t="s">
        <v>82</v>
      </c>
      <c r="D60" s="101"/>
      <c r="E60" s="87">
        <v>21</v>
      </c>
      <c r="F60" s="88">
        <f>IF(E60="-",0,IFERROR(IFERROR(VLOOKUP(E60,Атлет!$B$5:$I$104,8,FALSE),(IF(E60&lt;1,0,IF(INT(E60)&gt;=25,100,"Введите целое число")))),"Введите целое число или '-'"))</f>
        <v>84</v>
      </c>
      <c r="G60" s="89">
        <v>3.54</v>
      </c>
      <c r="H60" s="90">
        <f t="array" ref="H60">IF(G60=0,0,IF(MIN(IF(Атлет!$C$5:$C$104&gt;=G60,Атлет!$C$5:$C$104))=0,0,VLOOKUP(MIN(IF(Атлет!$C$5:$C$104&gt;=G60,Атлет!$C$5:$C$104)),Атлет!$C$5:$I$104,7)))</f>
        <v>45</v>
      </c>
      <c r="I60" s="91">
        <v>24</v>
      </c>
      <c r="J60" s="92">
        <f>IF(I60="-",0,IFERROR(IFERROR(VLOOKUP(I60,Атлет!$D$5:$I$104,6,FALSE),(IF(I60&lt;1,0,IF(INT(I60)&gt;=40,100,"Введите целое число")))),"Введите целое число или '-'"))</f>
        <v>52</v>
      </c>
      <c r="K60" s="103">
        <v>10</v>
      </c>
      <c r="L60" s="90">
        <f>IF(K60="-",0,IFERROR(IFERROR(VLOOKUP(K60,Атлет!$E$5:$I$104,5,FALSE),(IF(K60&lt;1,0,IF(INT(K60)&gt;=30,100,"Введите целое число")))),"Введите целое число или '-'"))</f>
        <v>44</v>
      </c>
      <c r="M60" s="94">
        <v>56</v>
      </c>
      <c r="N60" s="92">
        <f>IF(M60="-",0,IFERROR(IFERROR(VLOOKUP(M60,Атлет!$F$5:$I$104,4,FALSE),(IF(M60&lt;1,0,IF(INT(M60)&gt;=90,100,"Введите целое число")))),"Введите целое число или '-'"))</f>
        <v>66</v>
      </c>
      <c r="O60" s="93">
        <v>56</v>
      </c>
      <c r="P60" s="90">
        <f>IF(O60="-",0,IFERROR(IFERROR(VLOOKUP(O60,Атлет!$G$5:$I$104,3,FALSE),(IF(O60&lt;1,0,IF(INT(O60)&gt;=100,100,"Введите целое число")))),"Введите целое число или '-'"))</f>
        <v>56</v>
      </c>
      <c r="Q60" s="95">
        <v>44.1</v>
      </c>
      <c r="R60" s="88">
        <f t="array" ref="R60">IF(Q60=0,0,IF(MIN(IF(Атлет!$H$5:$H$104&gt;=Q60,Атлет!$H$5:$H$104))=0,0,VLOOKUP(MIN(IF(Атлет!$H$5:$H$104&gt;=Q60,Атлет!$H$5:$H$104)),Атлет!$H$5:$I$104,2)))</f>
        <v>45</v>
      </c>
      <c r="S60" s="96">
        <f t="shared" si="0"/>
        <v>392</v>
      </c>
      <c r="T60" s="97">
        <f t="shared" si="1"/>
        <v>34</v>
      </c>
    </row>
    <row r="61" spans="1:20" ht="20.100000000000001" customHeight="1" x14ac:dyDescent="0.2">
      <c r="A61" s="84">
        <v>57</v>
      </c>
      <c r="B61" s="9">
        <v>57</v>
      </c>
      <c r="C61" s="99" t="s">
        <v>87</v>
      </c>
      <c r="D61" s="86" t="s">
        <v>122</v>
      </c>
      <c r="E61" s="87">
        <v>20</v>
      </c>
      <c r="F61" s="88">
        <f>IF(E61="-",0,IFERROR(IFERROR(VLOOKUP(E61,Атлет!$B$5:$I$104,8,FALSE),(IF(E61&lt;1,0,IF(INT(E61)&gt;=25,100,"Введите целое число")))),"Введите целое число или '-'"))</f>
        <v>80</v>
      </c>
      <c r="G61" s="89">
        <v>3.56</v>
      </c>
      <c r="H61" s="90">
        <f t="array" ref="H61">IF(G61=0,0,IF(MIN(IF(Атлет!$C$5:$C$104&gt;=G61,Атлет!$C$5:$C$104))=0,0,VLOOKUP(MIN(IF(Атлет!$C$5:$C$104&gt;=G61,Атлет!$C$5:$C$104)),Атлет!$C$5:$I$104,7)))</f>
        <v>44</v>
      </c>
      <c r="I61" s="91">
        <v>23</v>
      </c>
      <c r="J61" s="92">
        <f>IF(I61="-",0,IFERROR(IFERROR(VLOOKUP(I61,Атлет!$D$5:$I$104,6,FALSE),(IF(I61&lt;1,0,IF(INT(I61)&gt;=40,100,"Введите целое число")))),"Введите целое число или '-'"))</f>
        <v>49</v>
      </c>
      <c r="K61" s="93">
        <v>9</v>
      </c>
      <c r="L61" s="90">
        <f>IF(K61="-",0,IFERROR(IFERROR(VLOOKUP(K61,Атлет!$E$5:$I$104,5,FALSE),(IF(K61&lt;1,0,IF(INT(K61)&gt;=30,100,"Введите целое число")))),"Введите целое число или '-'"))</f>
        <v>40</v>
      </c>
      <c r="M61" s="94">
        <v>57</v>
      </c>
      <c r="N61" s="92">
        <f>IF(M61="-",0,IFERROR(IFERROR(VLOOKUP(M61,Атлет!$F$5:$I$104,4,FALSE),(IF(M61&lt;1,0,IF(INT(M61)&gt;=90,100,"Введите целое число")))),"Введите целое число или '-'"))</f>
        <v>67</v>
      </c>
      <c r="O61" s="93">
        <v>57</v>
      </c>
      <c r="P61" s="90">
        <f>IF(O61="-",0,IFERROR(IFERROR(VLOOKUP(O61,Атлет!$G$5:$I$104,3,FALSE),(IF(O61&lt;1,0,IF(INT(O61)&gt;=100,100,"Введите целое число")))),"Введите целое число или '-'"))</f>
        <v>57</v>
      </c>
      <c r="Q61" s="95">
        <v>44.2</v>
      </c>
      <c r="R61" s="88">
        <f t="array" ref="R61">IF(Q61=0,0,IF(MIN(IF(Атлет!$H$5:$H$104&gt;=Q61,Атлет!$H$5:$H$104))=0,0,VLOOKUP(MIN(IF(Атлет!$H$5:$H$104&gt;=Q61,Атлет!$H$5:$H$104)),Атлет!$H$5:$I$104,2)))</f>
        <v>44</v>
      </c>
      <c r="S61" s="96">
        <f t="shared" si="0"/>
        <v>381</v>
      </c>
      <c r="T61" s="97">
        <f t="shared" si="1"/>
        <v>36</v>
      </c>
    </row>
    <row r="62" spans="1:20" ht="20.100000000000001" customHeight="1" x14ac:dyDescent="0.2">
      <c r="A62" s="84">
        <v>58</v>
      </c>
      <c r="B62" s="98">
        <v>58</v>
      </c>
      <c r="C62" s="99" t="s">
        <v>95</v>
      </c>
      <c r="D62" s="86" t="s">
        <v>122</v>
      </c>
      <c r="E62" s="87">
        <v>19</v>
      </c>
      <c r="F62" s="88">
        <f>IF(E62="-",0,IFERROR(IFERROR(VLOOKUP(E62,Атлет!$B$5:$I$104,8,FALSE),(IF(E62&lt;1,0,IF(INT(E62)&gt;=25,100,"Введите целое число")))),"Введите целое число или '-'"))</f>
        <v>76</v>
      </c>
      <c r="G62" s="89">
        <v>3.58</v>
      </c>
      <c r="H62" s="90">
        <f t="array" ref="H62">IF(G62=0,0,IF(MIN(IF(Атлет!$C$5:$C$104&gt;=G62,Атлет!$C$5:$C$104))=0,0,VLOOKUP(MIN(IF(Атлет!$C$5:$C$104&gt;=G62,Атлет!$C$5:$C$104)),Атлет!$C$5:$I$104,7)))</f>
        <v>43</v>
      </c>
      <c r="I62" s="91">
        <v>22</v>
      </c>
      <c r="J62" s="92">
        <f>IF(I62="-",0,IFERROR(IFERROR(VLOOKUP(I62,Атлет!$D$5:$I$104,6,FALSE),(IF(I62&lt;1,0,IF(INT(I62)&gt;=40,100,"Введите целое число")))),"Введите целое число или '-'"))</f>
        <v>46</v>
      </c>
      <c r="K62" s="103">
        <v>8</v>
      </c>
      <c r="L62" s="90">
        <f>IF(K62="-",0,IFERROR(IFERROR(VLOOKUP(K62,Атлет!$E$5:$I$104,5,FALSE),(IF(K62&lt;1,0,IF(INT(K62)&gt;=30,100,"Введите целое число")))),"Введите целое число или '-'"))</f>
        <v>36</v>
      </c>
      <c r="M62" s="87">
        <v>58</v>
      </c>
      <c r="N62" s="92">
        <f>IF(M62="-",0,IFERROR(IFERROR(VLOOKUP(M62,Атлет!$F$5:$I$104,4,FALSE),(IF(M62&lt;1,0,IF(INT(M62)&gt;=90,100,"Введите целое число")))),"Введите целое число или '-'"))</f>
        <v>68</v>
      </c>
      <c r="O62" s="93">
        <v>58</v>
      </c>
      <c r="P62" s="90">
        <f>IF(O62="-",0,IFERROR(IFERROR(VLOOKUP(O62,Атлет!$G$5:$I$104,3,FALSE),(IF(O62&lt;1,0,IF(INT(O62)&gt;=100,100,"Введите целое число")))),"Введите целое число или '-'"))</f>
        <v>58</v>
      </c>
      <c r="Q62" s="95">
        <v>44.3</v>
      </c>
      <c r="R62" s="88">
        <f t="array" ref="R62">IF(Q62=0,0,IF(MIN(IF(Атлет!$H$5:$H$104&gt;=Q62,Атлет!$H$5:$H$104))=0,0,VLOOKUP(MIN(IF(Атлет!$H$5:$H$104&gt;=Q62,Атлет!$H$5:$H$104)),Атлет!$H$5:$I$104,2)))</f>
        <v>43</v>
      </c>
      <c r="S62" s="96">
        <f t="shared" si="0"/>
        <v>370</v>
      </c>
      <c r="T62" s="97">
        <f t="shared" si="1"/>
        <v>38</v>
      </c>
    </row>
    <row r="63" spans="1:20" ht="20.100000000000001" customHeight="1" x14ac:dyDescent="0.2">
      <c r="A63" s="84">
        <v>59</v>
      </c>
      <c r="B63" s="9">
        <v>59</v>
      </c>
      <c r="C63" s="104" t="s">
        <v>107</v>
      </c>
      <c r="D63" s="101"/>
      <c r="E63" s="87">
        <v>18</v>
      </c>
      <c r="F63" s="88">
        <f>IF(E63="-",0,IFERROR(IFERROR(VLOOKUP(E63,Атлет!$B$5:$I$104,8,FALSE),(IF(E63&lt;1,0,IF(INT(E63)&gt;=25,100,"Введите целое число")))),"Введите целое число или '-'"))</f>
        <v>72</v>
      </c>
      <c r="G63" s="89">
        <v>4</v>
      </c>
      <c r="H63" s="90">
        <f t="array" ref="H63">IF(G63=0,0,IF(MIN(IF(Атлет!$C$5:$C$104&gt;=G63,Атлет!$C$5:$C$104))=0,0,VLOOKUP(MIN(IF(Атлет!$C$5:$C$104&gt;=G63,Атлет!$C$5:$C$104)),Атлет!$C$5:$I$104,7)))</f>
        <v>42</v>
      </c>
      <c r="I63" s="91">
        <v>21</v>
      </c>
      <c r="J63" s="92">
        <f>IF(I63="-",0,IFERROR(IFERROR(VLOOKUP(I63,Атлет!$D$5:$I$104,6,FALSE),(IF(I63&lt;1,0,IF(INT(I63)&gt;=40,100,"Введите целое число")))),"Введите целое число или '-'"))</f>
        <v>43</v>
      </c>
      <c r="K63" s="103">
        <v>7</v>
      </c>
      <c r="L63" s="90">
        <f>IF(K63="-",0,IFERROR(IFERROR(VLOOKUP(K63,Атлет!$E$5:$I$104,5,FALSE),(IF(K63&lt;1,0,IF(INT(K63)&gt;=30,100,"Введите целое число")))),"Введите целое число или '-'"))</f>
        <v>32</v>
      </c>
      <c r="M63" s="94">
        <v>59</v>
      </c>
      <c r="N63" s="92">
        <f>IF(M63="-",0,IFERROR(IFERROR(VLOOKUP(M63,Атлет!$F$5:$I$104,4,FALSE),(IF(M63&lt;1,0,IF(INT(M63)&gt;=90,100,"Введите целое число")))),"Введите целое число или '-'"))</f>
        <v>69</v>
      </c>
      <c r="O63" s="93">
        <v>59</v>
      </c>
      <c r="P63" s="90">
        <f>IF(O63="-",0,IFERROR(IFERROR(VLOOKUP(O63,Атлет!$G$5:$I$104,3,FALSE),(IF(O63&lt;1,0,IF(INT(O63)&gt;=100,100,"Введите целое число")))),"Введите целое число или '-'"))</f>
        <v>59</v>
      </c>
      <c r="Q63" s="95">
        <v>44.4</v>
      </c>
      <c r="R63" s="88">
        <f t="array" ref="R63">IF(Q63=0,0,IF(MIN(IF(Атлет!$H$5:$H$104&gt;=Q63,Атлет!$H$5:$H$104))=0,0,VLOOKUP(MIN(IF(Атлет!$H$5:$H$104&gt;=Q63,Атлет!$H$5:$H$104)),Атлет!$H$5:$I$104,2)))</f>
        <v>42</v>
      </c>
      <c r="S63" s="96">
        <f t="shared" si="0"/>
        <v>359</v>
      </c>
      <c r="T63" s="97">
        <f t="shared" si="1"/>
        <v>41</v>
      </c>
    </row>
    <row r="64" spans="1:20" ht="20.100000000000001" customHeight="1" x14ac:dyDescent="0.2">
      <c r="A64" s="84">
        <v>60</v>
      </c>
      <c r="B64" s="98">
        <v>60</v>
      </c>
      <c r="C64" s="85" t="s">
        <v>54</v>
      </c>
      <c r="D64" s="101"/>
      <c r="E64" s="87">
        <v>17</v>
      </c>
      <c r="F64" s="88">
        <f>IF(E64="-",0,IFERROR(IFERROR(VLOOKUP(E64,Атлет!$B$5:$I$104,8,FALSE),(IF(E64&lt;1,0,IF(INT(E64)&gt;=25,100,"Введите целое число")))),"Введите целое число или '-'"))</f>
        <v>68</v>
      </c>
      <c r="G64" s="89">
        <v>4.0599999999999996</v>
      </c>
      <c r="H64" s="90">
        <f t="array" ref="H64">IF(G64=0,0,IF(MIN(IF(Атлет!$C$5:$C$104&gt;=G64,Атлет!$C$5:$C$104))=0,0,VLOOKUP(MIN(IF(Атлет!$C$5:$C$104&gt;=G64,Атлет!$C$5:$C$104)),Атлет!$C$5:$I$104,7)))</f>
        <v>41</v>
      </c>
      <c r="I64" s="91">
        <v>20</v>
      </c>
      <c r="J64" s="92">
        <f>IF(I64="-",0,IFERROR(IFERROR(VLOOKUP(I64,Атлет!$D$5:$I$104,6,FALSE),(IF(I64&lt;1,0,IF(INT(I64)&gt;=40,100,"Введите целое число")))),"Введите целое число или '-'"))</f>
        <v>40</v>
      </c>
      <c r="K64" s="93">
        <v>6</v>
      </c>
      <c r="L64" s="90">
        <f>IF(K64="-",0,IFERROR(IFERROR(VLOOKUP(K64,Атлет!$E$5:$I$104,5,FALSE),(IF(K64&lt;1,0,IF(INT(K64)&gt;=30,100,"Введите целое число")))),"Введите целое число или '-'"))</f>
        <v>28</v>
      </c>
      <c r="M64" s="94">
        <v>60</v>
      </c>
      <c r="N64" s="92">
        <f>IF(M64="-",0,IFERROR(IFERROR(VLOOKUP(M64,Атлет!$F$5:$I$104,4,FALSE),(IF(M64&lt;1,0,IF(INT(M64)&gt;=90,100,"Введите целое число")))),"Введите целое число или '-'"))</f>
        <v>70</v>
      </c>
      <c r="O64" s="93">
        <v>60</v>
      </c>
      <c r="P64" s="90">
        <f>IF(O64="-",0,IFERROR(IFERROR(VLOOKUP(O64,Атлет!$G$5:$I$104,3,FALSE),(IF(O64&lt;1,0,IF(INT(O64)&gt;=100,100,"Введите целое число")))),"Введите целое число или '-'"))</f>
        <v>60</v>
      </c>
      <c r="Q64" s="95">
        <v>44.5</v>
      </c>
      <c r="R64" s="88">
        <f t="array" ref="R64">IF(Q64=0,0,IF(MIN(IF(Атлет!$H$5:$H$104&gt;=Q64,Атлет!$H$5:$H$104))=0,0,VLOOKUP(MIN(IF(Атлет!$H$5:$H$104&gt;=Q64,Атлет!$H$5:$H$104)),Атлет!$H$5:$I$104,2)))</f>
        <v>41</v>
      </c>
      <c r="S64" s="96">
        <f t="shared" si="0"/>
        <v>348</v>
      </c>
      <c r="T64" s="97">
        <f t="shared" si="1"/>
        <v>43</v>
      </c>
    </row>
    <row r="65" spans="1:20" ht="20.100000000000001" customHeight="1" x14ac:dyDescent="0.3">
      <c r="A65" s="84">
        <v>61</v>
      </c>
      <c r="B65" s="9">
        <v>61</v>
      </c>
      <c r="C65" s="100" t="s">
        <v>80</v>
      </c>
      <c r="D65" s="101"/>
      <c r="E65" s="87">
        <v>16</v>
      </c>
      <c r="F65" s="88">
        <f>IF(E65="-",0,IFERROR(IFERROR(VLOOKUP(E65,Атлет!$B$5:$I$104,8,FALSE),(IF(E65&lt;1,0,IF(INT(E65)&gt;=25,100,"Введите целое число")))),"Введите целое число или '-'"))</f>
        <v>64</v>
      </c>
      <c r="G65" s="89">
        <v>4.08</v>
      </c>
      <c r="H65" s="90">
        <f t="array" ref="H65">IF(G65=0,0,IF(MIN(IF(Атлет!$C$5:$C$104&gt;=G65,Атлет!$C$5:$C$104))=0,0,VLOOKUP(MIN(IF(Атлет!$C$5:$C$104&gt;=G65,Атлет!$C$5:$C$104)),Атлет!$C$5:$I$104,7)))</f>
        <v>40</v>
      </c>
      <c r="I65" s="91">
        <v>19</v>
      </c>
      <c r="J65" s="92">
        <f>IF(I65="-",0,IFERROR(IFERROR(VLOOKUP(I65,Атлет!$D$5:$I$104,6,FALSE),(IF(I65&lt;1,0,IF(INT(I65)&gt;=40,100,"Введите целое число")))),"Введите целое число или '-'"))</f>
        <v>38</v>
      </c>
      <c r="K65" s="103">
        <v>5</v>
      </c>
      <c r="L65" s="90">
        <f>IF(K65="-",0,IFERROR(IFERROR(VLOOKUP(K65,Атлет!$E$5:$I$104,5,FALSE),(IF(K65&lt;1,0,IF(INT(K65)&gt;=30,100,"Введите целое число")))),"Введите целое число или '-'"))</f>
        <v>24</v>
      </c>
      <c r="M65" s="87">
        <v>61</v>
      </c>
      <c r="N65" s="92">
        <f>IF(M65="-",0,IFERROR(IFERROR(VLOOKUP(M65,Атлет!$F$5:$I$104,4,FALSE),(IF(M65&lt;1,0,IF(INT(M65)&gt;=90,100,"Введите целое число")))),"Введите целое число или '-'"))</f>
        <v>71</v>
      </c>
      <c r="O65" s="93">
        <v>61</v>
      </c>
      <c r="P65" s="90">
        <f>IF(O65="-",0,IFERROR(IFERROR(VLOOKUP(O65,Атлет!$G$5:$I$104,3,FALSE),(IF(O65&lt;1,0,IF(INT(O65)&gt;=100,100,"Введите целое число")))),"Введите целое число или '-'"))</f>
        <v>61</v>
      </c>
      <c r="Q65" s="95">
        <v>45</v>
      </c>
      <c r="R65" s="88">
        <f t="array" ref="R65">IF(Q65=0,0,IF(MIN(IF(Атлет!$H$5:$H$104&gt;=Q65,Атлет!$H$5:$H$104))=0,0,VLOOKUP(MIN(IF(Атлет!$H$5:$H$104&gt;=Q65,Атлет!$H$5:$H$104)),Атлет!$H$5:$I$104,2)))</f>
        <v>40</v>
      </c>
      <c r="S65" s="96">
        <f t="shared" si="0"/>
        <v>338</v>
      </c>
      <c r="T65" s="97">
        <f t="shared" si="1"/>
        <v>46</v>
      </c>
    </row>
    <row r="66" spans="1:20" ht="20.100000000000001" customHeight="1" x14ac:dyDescent="0.2">
      <c r="A66" s="84">
        <v>62</v>
      </c>
      <c r="B66" s="98">
        <v>62</v>
      </c>
      <c r="C66" s="85" t="s">
        <v>47</v>
      </c>
      <c r="D66" s="101"/>
      <c r="E66" s="87">
        <v>15</v>
      </c>
      <c r="F66" s="88">
        <f>IF(E66="-",0,IFERROR(IFERROR(VLOOKUP(E66,Атлет!$B$5:$I$104,8,FALSE),(IF(E66&lt;1,0,IF(INT(E66)&gt;=25,100,"Введите целое число")))),"Введите целое число или '-'"))</f>
        <v>60</v>
      </c>
      <c r="G66" s="89">
        <v>4.0999999999999996</v>
      </c>
      <c r="H66" s="90">
        <f t="array" ref="H66">IF(G66=0,0,IF(MIN(IF(Атлет!$C$5:$C$104&gt;=G66,Атлет!$C$5:$C$104))=0,0,VLOOKUP(MIN(IF(Атлет!$C$5:$C$104&gt;=G66,Атлет!$C$5:$C$104)),Атлет!$C$5:$I$104,7)))</f>
        <v>39</v>
      </c>
      <c r="I66" s="91">
        <v>18</v>
      </c>
      <c r="J66" s="92">
        <f>IF(I66="-",0,IFERROR(IFERROR(VLOOKUP(I66,Атлет!$D$5:$I$104,6,FALSE),(IF(I66&lt;1,0,IF(INT(I66)&gt;=40,100,"Введите целое число")))),"Введите целое число или '-'"))</f>
        <v>36</v>
      </c>
      <c r="K66" s="103">
        <v>4</v>
      </c>
      <c r="L66" s="90">
        <f>IF(K66="-",0,IFERROR(IFERROR(VLOOKUP(K66,Атлет!$E$5:$I$104,5,FALSE),(IF(K66&lt;1,0,IF(INT(K66)&gt;=30,100,"Введите целое число")))),"Введите целое число или '-'"))</f>
        <v>20</v>
      </c>
      <c r="M66" s="94">
        <v>62</v>
      </c>
      <c r="N66" s="92">
        <f>IF(M66="-",0,IFERROR(IFERROR(VLOOKUP(M66,Атлет!$F$5:$I$104,4,FALSE),(IF(M66&lt;1,0,IF(INT(M66)&gt;=90,100,"Введите целое число")))),"Введите целое число или '-'"))</f>
        <v>72</v>
      </c>
      <c r="O66" s="93">
        <v>62</v>
      </c>
      <c r="P66" s="90">
        <f>IF(O66="-",0,IFERROR(IFERROR(VLOOKUP(O66,Атлет!$G$5:$I$104,3,FALSE),(IF(O66&lt;1,0,IF(INT(O66)&gt;=100,100,"Введите целое число")))),"Введите целое число или '-'"))</f>
        <v>62</v>
      </c>
      <c r="Q66" s="95">
        <v>45.1</v>
      </c>
      <c r="R66" s="88">
        <f t="array" ref="R66">IF(Q66=0,0,IF(MIN(IF(Атлет!$H$5:$H$104&gt;=Q66,Атлет!$H$5:$H$104))=0,0,VLOOKUP(MIN(IF(Атлет!$H$5:$H$104&gt;=Q66,Атлет!$H$5:$H$104)),Атлет!$H$5:$I$104,2)))</f>
        <v>39</v>
      </c>
      <c r="S66" s="96">
        <f t="shared" si="0"/>
        <v>328</v>
      </c>
      <c r="T66" s="97">
        <f t="shared" si="1"/>
        <v>49</v>
      </c>
    </row>
    <row r="67" spans="1:20" ht="20.100000000000001" customHeight="1" x14ac:dyDescent="0.2">
      <c r="A67" s="84">
        <v>63</v>
      </c>
      <c r="B67" s="9">
        <v>63</v>
      </c>
      <c r="C67" s="85" t="s">
        <v>26</v>
      </c>
      <c r="D67" s="86"/>
      <c r="E67" s="87">
        <v>14</v>
      </c>
      <c r="F67" s="88">
        <f>IF(E67="-",0,IFERROR(IFERROR(VLOOKUP(E67,Атлет!$B$5:$I$104,8,FALSE),(IF(E67&lt;1,0,IF(INT(E67)&gt;=25,100,"Введите целое число")))),"Введите целое число или '-'"))</f>
        <v>56</v>
      </c>
      <c r="G67" s="89">
        <v>4.12</v>
      </c>
      <c r="H67" s="90">
        <f t="array" ref="H67">IF(G67=0,0,IF(MIN(IF(Атлет!$C$5:$C$104&gt;=G67,Атлет!$C$5:$C$104))=0,0,VLOOKUP(MIN(IF(Атлет!$C$5:$C$104&gt;=G67,Атлет!$C$5:$C$104)),Атлет!$C$5:$I$104,7)))</f>
        <v>38</v>
      </c>
      <c r="I67" s="91">
        <v>17</v>
      </c>
      <c r="J67" s="92">
        <f>IF(I67="-",0,IFERROR(IFERROR(VLOOKUP(I67,Атлет!$D$5:$I$104,6,FALSE),(IF(I67&lt;1,0,IF(INT(I67)&gt;=40,100,"Введите целое число")))),"Введите целое число или '-'"))</f>
        <v>34</v>
      </c>
      <c r="K67" s="93">
        <v>3</v>
      </c>
      <c r="L67" s="90">
        <f>IF(K67="-",0,IFERROR(IFERROR(VLOOKUP(K67,Атлет!$E$5:$I$104,5,FALSE),(IF(K67&lt;1,0,IF(INT(K67)&gt;=30,100,"Введите целое число")))),"Введите целое число или '-'"))</f>
        <v>15</v>
      </c>
      <c r="M67" s="94">
        <v>63</v>
      </c>
      <c r="N67" s="92">
        <f>IF(M67="-",0,IFERROR(IFERROR(VLOOKUP(M67,Атлет!$F$5:$I$104,4,FALSE),(IF(M67&lt;1,0,IF(INT(M67)&gt;=90,100,"Введите целое число")))),"Введите целое число или '-'"))</f>
        <v>73</v>
      </c>
      <c r="O67" s="93">
        <v>63</v>
      </c>
      <c r="P67" s="90">
        <f>IF(O67="-",0,IFERROR(IFERROR(VLOOKUP(O67,Атлет!$G$5:$I$104,3,FALSE),(IF(O67&lt;1,0,IF(INT(O67)&gt;=100,100,"Введите целое число")))),"Введите целое число или '-'"))</f>
        <v>63</v>
      </c>
      <c r="Q67" s="95">
        <v>45.2</v>
      </c>
      <c r="R67" s="88">
        <f t="array" ref="R67">IF(Q67=0,0,IF(MIN(IF(Атлет!$H$5:$H$104&gt;=Q67,Атлет!$H$5:$H$104))=0,0,VLOOKUP(MIN(IF(Атлет!$H$5:$H$104&gt;=Q67,Атлет!$H$5:$H$104)),Атлет!$H$5:$I$104,2)))</f>
        <v>38</v>
      </c>
      <c r="S67" s="96">
        <f t="shared" si="0"/>
        <v>317</v>
      </c>
      <c r="T67" s="97">
        <f t="shared" si="1"/>
        <v>53</v>
      </c>
    </row>
    <row r="68" spans="1:20" ht="20.100000000000001" customHeight="1" x14ac:dyDescent="0.2">
      <c r="A68" s="84">
        <v>64</v>
      </c>
      <c r="B68" s="98">
        <v>64</v>
      </c>
      <c r="C68" s="99" t="s">
        <v>86</v>
      </c>
      <c r="D68" s="86"/>
      <c r="E68" s="87">
        <v>13</v>
      </c>
      <c r="F68" s="88">
        <f>IF(E68="-",0,IFERROR(IFERROR(VLOOKUP(E68,Атлет!$B$5:$I$104,8,FALSE),(IF(E68&lt;1,0,IF(INT(E68)&gt;=25,100,"Введите целое число")))),"Введите целое число или '-'"))</f>
        <v>52</v>
      </c>
      <c r="G68" s="89">
        <v>4.1399999999999997</v>
      </c>
      <c r="H68" s="90">
        <f t="array" ref="H68">IF(G68=0,0,IF(MIN(IF(Атлет!$C$5:$C$104&gt;=G68,Атлет!$C$5:$C$104))=0,0,VLOOKUP(MIN(IF(Атлет!$C$5:$C$104&gt;=G68,Атлет!$C$5:$C$104)),Атлет!$C$5:$I$104,7)))</f>
        <v>37</v>
      </c>
      <c r="I68" s="91">
        <v>16</v>
      </c>
      <c r="J68" s="92">
        <f>IF(I68="-",0,IFERROR(IFERROR(VLOOKUP(I68,Атлет!$D$5:$I$104,6,FALSE),(IF(I68&lt;1,0,IF(INT(I68)&gt;=40,100,"Введите целое число")))),"Введите целое число или '-'"))</f>
        <v>32</v>
      </c>
      <c r="K68" s="103">
        <v>2</v>
      </c>
      <c r="L68" s="90">
        <f>IF(K68="-",0,IFERROR(IFERROR(VLOOKUP(K68,Атлет!$E$5:$I$104,5,FALSE),(IF(K68&lt;1,0,IF(INT(K68)&gt;=30,100,"Введите целое число")))),"Введите целое число или '-'"))</f>
        <v>10</v>
      </c>
      <c r="M68" s="87">
        <v>64</v>
      </c>
      <c r="N68" s="92">
        <f>IF(M68="-",0,IFERROR(IFERROR(VLOOKUP(M68,Атлет!$F$5:$I$104,4,FALSE),(IF(M68&lt;1,0,IF(INT(M68)&gt;=90,100,"Введите целое число")))),"Введите целое число или '-'"))</f>
        <v>74</v>
      </c>
      <c r="O68" s="93">
        <v>64</v>
      </c>
      <c r="P68" s="90">
        <f>IF(O68="-",0,IFERROR(IFERROR(VLOOKUP(O68,Атлет!$G$5:$I$104,3,FALSE),(IF(O68&lt;1,0,IF(INT(O68)&gt;=100,100,"Введите целое число")))),"Введите целое число или '-'"))</f>
        <v>64</v>
      </c>
      <c r="Q68" s="95">
        <v>45.3</v>
      </c>
      <c r="R68" s="88">
        <f t="array" ref="R68">IF(Q68=0,0,IF(MIN(IF(Атлет!$H$5:$H$104&gt;=Q68,Атлет!$H$5:$H$104))=0,0,VLOOKUP(MIN(IF(Атлет!$H$5:$H$104&gt;=Q68,Атлет!$H$5:$H$104)),Атлет!$H$5:$I$104,2)))</f>
        <v>37</v>
      </c>
      <c r="S68" s="96">
        <f t="shared" si="0"/>
        <v>306</v>
      </c>
      <c r="T68" s="97">
        <f t="shared" si="1"/>
        <v>55</v>
      </c>
    </row>
    <row r="69" spans="1:20" ht="20.100000000000001" customHeight="1" x14ac:dyDescent="0.2">
      <c r="A69" s="84">
        <v>65</v>
      </c>
      <c r="B69" s="9">
        <v>65</v>
      </c>
      <c r="C69" s="99" t="s">
        <v>100</v>
      </c>
      <c r="D69" s="86" t="s">
        <v>121</v>
      </c>
      <c r="E69" s="87">
        <v>12</v>
      </c>
      <c r="F69" s="88">
        <f>IF(E69="-",0,IFERROR(IFERROR(VLOOKUP(E69,Атлет!$B$5:$I$104,8,FALSE),(IF(E69&lt;1,0,IF(INT(E69)&gt;=25,100,"Введите целое число")))),"Введите целое число или '-'"))</f>
        <v>48</v>
      </c>
      <c r="G69" s="89">
        <v>4.16</v>
      </c>
      <c r="H69" s="90">
        <f t="array" ref="H69">IF(G69=0,0,IF(MIN(IF(Атлет!$C$5:$C$104&gt;=G69,Атлет!$C$5:$C$104))=0,0,VLOOKUP(MIN(IF(Атлет!$C$5:$C$104&gt;=G69,Атлет!$C$5:$C$104)),Атлет!$C$5:$I$104,7)))</f>
        <v>36</v>
      </c>
      <c r="I69" s="91">
        <v>15</v>
      </c>
      <c r="J69" s="92">
        <f>IF(I69="-",0,IFERROR(IFERROR(VLOOKUP(I69,Атлет!$D$5:$I$104,6,FALSE),(IF(I69&lt;1,0,IF(INT(I69)&gt;=40,100,"Введите целое число")))),"Введите целое число или '-'"))</f>
        <v>30</v>
      </c>
      <c r="K69" s="103">
        <v>1</v>
      </c>
      <c r="L69" s="90">
        <f>IF(K69="-",0,IFERROR(IFERROR(VLOOKUP(K69,Атлет!$E$5:$I$104,5,FALSE),(IF(K69&lt;1,0,IF(INT(K69)&gt;=30,100,"Введите целое число")))),"Введите целое число или '-'"))</f>
        <v>5</v>
      </c>
      <c r="M69" s="94">
        <v>65</v>
      </c>
      <c r="N69" s="92">
        <f>IF(M69="-",0,IFERROR(IFERROR(VLOOKUP(M69,Атлет!$F$5:$I$104,4,FALSE),(IF(M69&lt;1,0,IF(INT(M69)&gt;=90,100,"Введите целое число")))),"Введите целое число или '-'"))</f>
        <v>75</v>
      </c>
      <c r="O69" s="93">
        <v>65</v>
      </c>
      <c r="P69" s="90">
        <f>IF(O69="-",0,IFERROR(IFERROR(VLOOKUP(O69,Атлет!$G$5:$I$104,3,FALSE),(IF(O69&lt;1,0,IF(INT(O69)&gt;=100,100,"Введите целое число")))),"Введите целое число или '-'"))</f>
        <v>65</v>
      </c>
      <c r="Q69" s="95">
        <v>45.4</v>
      </c>
      <c r="R69" s="88">
        <f t="array" ref="R69">IF(Q69=0,0,IF(MIN(IF(Атлет!$H$5:$H$104&gt;=Q69,Атлет!$H$5:$H$104))=0,0,VLOOKUP(MIN(IF(Атлет!$H$5:$H$104&gt;=Q69,Атлет!$H$5:$H$104)),Атлет!$H$5:$I$104,2)))</f>
        <v>36</v>
      </c>
      <c r="S69" s="96">
        <f t="shared" ref="S69:S104" si="2">R69+P69+N69+L69+J69+H69+F69</f>
        <v>295</v>
      </c>
      <c r="T69" s="97">
        <f t="shared" ref="T69:T104" si="3">RANK(S69,$S$5:$S$104,0)</f>
        <v>63</v>
      </c>
    </row>
    <row r="70" spans="1:20" ht="20.100000000000001" customHeight="1" x14ac:dyDescent="0.2">
      <c r="A70" s="84">
        <v>66</v>
      </c>
      <c r="B70" s="98">
        <v>66</v>
      </c>
      <c r="C70" s="99" t="s">
        <v>106</v>
      </c>
      <c r="D70" s="101"/>
      <c r="E70" s="87">
        <v>11</v>
      </c>
      <c r="F70" s="88">
        <f>IF(E70="-",0,IFERROR(IFERROR(VLOOKUP(E70,Атлет!$B$5:$I$104,8,FALSE),(IF(E70&lt;1,0,IF(INT(E70)&gt;=25,100,"Введите целое число")))),"Введите целое число или '-'"))</f>
        <v>44</v>
      </c>
      <c r="G70" s="89">
        <v>4.18</v>
      </c>
      <c r="H70" s="90">
        <f t="array" ref="H70">IF(G70=0,0,IF(MIN(IF(Атлет!$C$5:$C$104&gt;=G70,Атлет!$C$5:$C$104))=0,0,VLOOKUP(MIN(IF(Атлет!$C$5:$C$104&gt;=G70,Атлет!$C$5:$C$104)),Атлет!$C$5:$I$104,7)))</f>
        <v>35</v>
      </c>
      <c r="I70" s="91">
        <v>14</v>
      </c>
      <c r="J70" s="92">
        <f>IF(I70="-",0,IFERROR(IFERROR(VLOOKUP(I70,Атлет!$D$5:$I$104,6,FALSE),(IF(I70&lt;1,0,IF(INT(I70)&gt;=40,100,"Введите целое число")))),"Введите целое число или '-'"))</f>
        <v>28</v>
      </c>
      <c r="K70" s="93">
        <v>0</v>
      </c>
      <c r="L70" s="90">
        <f>IF(K70="-",0,IFERROR(IFERROR(VLOOKUP(K70,Атлет!$E$5:$I$104,5,FALSE),(IF(K70&lt;1,0,IF(INT(K70)&gt;=30,100,"Введите целое число")))),"Введите целое число или '-'"))</f>
        <v>0</v>
      </c>
      <c r="M70" s="94">
        <v>66</v>
      </c>
      <c r="N70" s="92">
        <f>IF(M70="-",0,IFERROR(IFERROR(VLOOKUP(M70,Атлет!$F$5:$I$104,4,FALSE),(IF(M70&lt;1,0,IF(INT(M70)&gt;=90,100,"Введите целое число")))),"Введите целое число или '-'"))</f>
        <v>76</v>
      </c>
      <c r="O70" s="93">
        <v>66</v>
      </c>
      <c r="P70" s="90">
        <f>IF(O70="-",0,IFERROR(IFERROR(VLOOKUP(O70,Атлет!$G$5:$I$104,3,FALSE),(IF(O70&lt;1,0,IF(INT(O70)&gt;=100,100,"Введите целое число")))),"Введите целое число или '-'"))</f>
        <v>66</v>
      </c>
      <c r="Q70" s="95">
        <v>45.5</v>
      </c>
      <c r="R70" s="88">
        <f t="array" ref="R70">IF(Q70=0,0,IF(MIN(IF(Атлет!$H$5:$H$104&gt;=Q70,Атлет!$H$5:$H$104))=0,0,VLOOKUP(MIN(IF(Атлет!$H$5:$H$104&gt;=Q70,Атлет!$H$5:$H$104)),Атлет!$H$5:$I$104,2)))</f>
        <v>35</v>
      </c>
      <c r="S70" s="96">
        <f t="shared" si="2"/>
        <v>284</v>
      </c>
      <c r="T70" s="97">
        <f t="shared" si="3"/>
        <v>70</v>
      </c>
    </row>
    <row r="71" spans="1:20" ht="20.100000000000001" customHeight="1" x14ac:dyDescent="0.2">
      <c r="A71" s="84">
        <v>67</v>
      </c>
      <c r="B71" s="9">
        <v>67</v>
      </c>
      <c r="C71" s="85" t="s">
        <v>22</v>
      </c>
      <c r="D71" s="86"/>
      <c r="E71" s="87">
        <v>10</v>
      </c>
      <c r="F71" s="88">
        <f>IF(E71="-",0,IFERROR(IFERROR(VLOOKUP(E71,Атлет!$B$5:$I$104,8,FALSE),(IF(E71&lt;1,0,IF(INT(E71)&gt;=25,100,"Введите целое число")))),"Введите целое число или '-'"))</f>
        <v>40</v>
      </c>
      <c r="G71" s="89">
        <v>4.2</v>
      </c>
      <c r="H71" s="90">
        <f t="array" ref="H71">IF(G71=0,0,IF(MIN(IF(Атлет!$C$5:$C$104&gt;=G71,Атлет!$C$5:$C$104))=0,0,VLOOKUP(MIN(IF(Атлет!$C$5:$C$104&gt;=G71,Атлет!$C$5:$C$104)),Атлет!$C$5:$I$104,7)))</f>
        <v>34</v>
      </c>
      <c r="I71" s="91">
        <v>13</v>
      </c>
      <c r="J71" s="92">
        <f>IF(I71="-",0,IFERROR(IFERROR(VLOOKUP(I71,Атлет!$D$5:$I$104,6,FALSE),(IF(I71&lt;1,0,IF(INT(I71)&gt;=40,100,"Введите целое число")))),"Введите целое число или '-'"))</f>
        <v>26</v>
      </c>
      <c r="K71" s="103">
        <v>1</v>
      </c>
      <c r="L71" s="90">
        <f>IF(K71="-",0,IFERROR(IFERROR(VLOOKUP(K71,Атлет!$E$5:$I$104,5,FALSE),(IF(K71&lt;1,0,IF(INT(K71)&gt;=30,100,"Введите целое число")))),"Введите целое число или '-'"))</f>
        <v>5</v>
      </c>
      <c r="M71" s="87">
        <v>67</v>
      </c>
      <c r="N71" s="92">
        <f>IF(M71="-",0,IFERROR(IFERROR(VLOOKUP(M71,Атлет!$F$5:$I$104,4,FALSE),(IF(M71&lt;1,0,IF(INT(M71)&gt;=90,100,"Введите целое число")))),"Введите целое число или '-'"))</f>
        <v>77</v>
      </c>
      <c r="O71" s="93">
        <v>67</v>
      </c>
      <c r="P71" s="90">
        <f>IF(O71="-",0,IFERROR(IFERROR(VLOOKUP(O71,Атлет!$G$5:$I$104,3,FALSE),(IF(O71&lt;1,0,IF(INT(O71)&gt;=100,100,"Введите целое число")))),"Введите целое число или '-'"))</f>
        <v>67</v>
      </c>
      <c r="Q71" s="95">
        <v>46</v>
      </c>
      <c r="R71" s="88">
        <f t="array" ref="R71">IF(Q71=0,0,IF(MIN(IF(Атлет!$H$5:$H$104&gt;=Q71,Атлет!$H$5:$H$104))=0,0,VLOOKUP(MIN(IF(Атлет!$H$5:$H$104&gt;=Q71,Атлет!$H$5:$H$104)),Атлет!$H$5:$I$104,2)))</f>
        <v>34</v>
      </c>
      <c r="S71" s="96">
        <f t="shared" si="2"/>
        <v>283</v>
      </c>
      <c r="T71" s="97">
        <f t="shared" si="3"/>
        <v>72</v>
      </c>
    </row>
    <row r="72" spans="1:20" ht="20.100000000000001" customHeight="1" x14ac:dyDescent="0.2">
      <c r="A72" s="84">
        <v>68</v>
      </c>
      <c r="B72" s="98">
        <v>68</v>
      </c>
      <c r="C72" s="99" t="s">
        <v>88</v>
      </c>
      <c r="D72" s="101"/>
      <c r="E72" s="87">
        <v>9</v>
      </c>
      <c r="F72" s="88">
        <f>IF(E72="-",0,IFERROR(IFERROR(VLOOKUP(E72,Атлет!$B$5:$I$104,8,FALSE),(IF(E72&lt;1,0,IF(INT(E72)&gt;=25,100,"Введите целое число")))),"Введите целое число или '-'"))</f>
        <v>36</v>
      </c>
      <c r="G72" s="89">
        <v>4.22</v>
      </c>
      <c r="H72" s="90">
        <f t="array" ref="H72">IF(G72=0,0,IF(MIN(IF(Атлет!$C$5:$C$104&gt;=G72,Атлет!$C$5:$C$104))=0,0,VLOOKUP(MIN(IF(Атлет!$C$5:$C$104&gt;=G72,Атлет!$C$5:$C$104)),Атлет!$C$5:$I$104,7)))</f>
        <v>33</v>
      </c>
      <c r="I72" s="91">
        <v>12</v>
      </c>
      <c r="J72" s="92">
        <f>IF(I72="-",0,IFERROR(IFERROR(VLOOKUP(I72,Атлет!$D$5:$I$104,6,FALSE),(IF(I72&lt;1,0,IF(INT(I72)&gt;=40,100,"Введите целое число")))),"Введите целое число или '-'"))</f>
        <v>24</v>
      </c>
      <c r="K72" s="103">
        <v>2</v>
      </c>
      <c r="L72" s="90">
        <f>IF(K72="-",0,IFERROR(IFERROR(VLOOKUP(K72,Атлет!$E$5:$I$104,5,FALSE),(IF(K72&lt;1,0,IF(INT(K72)&gt;=30,100,"Введите целое число")))),"Введите целое число или '-'"))</f>
        <v>10</v>
      </c>
      <c r="M72" s="94">
        <v>68</v>
      </c>
      <c r="N72" s="92">
        <f>IF(M72="-",0,IFERROR(IFERROR(VLOOKUP(M72,Атлет!$F$5:$I$104,4,FALSE),(IF(M72&lt;1,0,IF(INT(M72)&gt;=90,100,"Введите целое число")))),"Введите целое число или '-'"))</f>
        <v>78</v>
      </c>
      <c r="O72" s="93">
        <v>68</v>
      </c>
      <c r="P72" s="90">
        <f>IF(O72="-",0,IFERROR(IFERROR(VLOOKUP(O72,Атлет!$G$5:$I$104,3,FALSE),(IF(O72&lt;1,0,IF(INT(O72)&gt;=100,100,"Введите целое число")))),"Введите целое число или '-'"))</f>
        <v>68</v>
      </c>
      <c r="Q72" s="95">
        <v>46.1</v>
      </c>
      <c r="R72" s="88">
        <f t="array" ref="R72">IF(Q72=0,0,IF(MIN(IF(Атлет!$H$5:$H$104&gt;=Q72,Атлет!$H$5:$H$104))=0,0,VLOOKUP(MIN(IF(Атлет!$H$5:$H$104&gt;=Q72,Атлет!$H$5:$H$104)),Атлет!$H$5:$I$104,2)))</f>
        <v>33</v>
      </c>
      <c r="S72" s="96">
        <f t="shared" si="2"/>
        <v>282</v>
      </c>
      <c r="T72" s="97">
        <f t="shared" si="3"/>
        <v>73</v>
      </c>
    </row>
    <row r="73" spans="1:20" ht="20.100000000000001" customHeight="1" x14ac:dyDescent="0.3">
      <c r="A73" s="84">
        <v>69</v>
      </c>
      <c r="B73" s="9">
        <v>69</v>
      </c>
      <c r="C73" s="100" t="s">
        <v>108</v>
      </c>
      <c r="D73" s="101"/>
      <c r="E73" s="87">
        <v>8</v>
      </c>
      <c r="F73" s="88">
        <f>IF(E73="-",0,IFERROR(IFERROR(VLOOKUP(E73,Атлет!$B$5:$I$104,8,FALSE),(IF(E73&lt;1,0,IF(INT(E73)&gt;=25,100,"Введите целое число")))),"Введите целое число или '-'"))</f>
        <v>32</v>
      </c>
      <c r="G73" s="89">
        <v>4.24</v>
      </c>
      <c r="H73" s="90">
        <f t="array" ref="H73">IF(G73=0,0,IF(MIN(IF(Атлет!$C$5:$C$104&gt;=G73,Атлет!$C$5:$C$104))=0,0,VLOOKUP(MIN(IF(Атлет!$C$5:$C$104&gt;=G73,Атлет!$C$5:$C$104)),Атлет!$C$5:$I$104,7)))</f>
        <v>32</v>
      </c>
      <c r="I73" s="91">
        <v>11</v>
      </c>
      <c r="J73" s="92">
        <f>IF(I73="-",0,IFERROR(IFERROR(VLOOKUP(I73,Атлет!$D$5:$I$104,6,FALSE),(IF(I73&lt;1,0,IF(INT(I73)&gt;=40,100,"Введите целое число")))),"Введите целое число или '-'"))</f>
        <v>22</v>
      </c>
      <c r="K73" s="93">
        <v>3</v>
      </c>
      <c r="L73" s="90">
        <f>IF(K73="-",0,IFERROR(IFERROR(VLOOKUP(K73,Атлет!$E$5:$I$104,5,FALSE),(IF(K73&lt;1,0,IF(INT(K73)&gt;=30,100,"Введите целое число")))),"Введите целое число или '-'"))</f>
        <v>15</v>
      </c>
      <c r="M73" s="94">
        <v>69</v>
      </c>
      <c r="N73" s="92">
        <f>IF(M73="-",0,IFERROR(IFERROR(VLOOKUP(M73,Атлет!$F$5:$I$104,4,FALSE),(IF(M73&lt;1,0,IF(INT(M73)&gt;=90,100,"Введите целое число")))),"Введите целое число или '-'"))</f>
        <v>79</v>
      </c>
      <c r="O73" s="93">
        <v>69</v>
      </c>
      <c r="P73" s="90">
        <f>IF(O73="-",0,IFERROR(IFERROR(VLOOKUP(O73,Атлет!$G$5:$I$104,3,FALSE),(IF(O73&lt;1,0,IF(INT(O73)&gt;=100,100,"Введите целое число")))),"Введите целое число или '-'"))</f>
        <v>69</v>
      </c>
      <c r="Q73" s="95">
        <v>46.2</v>
      </c>
      <c r="R73" s="88">
        <f t="array" ref="R73">IF(Q73=0,0,IF(MIN(IF(Атлет!$H$5:$H$104&gt;=Q73,Атлет!$H$5:$H$104))=0,0,VLOOKUP(MIN(IF(Атлет!$H$5:$H$104&gt;=Q73,Атлет!$H$5:$H$104)),Атлет!$H$5:$I$104,2)))</f>
        <v>32</v>
      </c>
      <c r="S73" s="96">
        <f t="shared" si="2"/>
        <v>281</v>
      </c>
      <c r="T73" s="97">
        <f t="shared" si="3"/>
        <v>75</v>
      </c>
    </row>
    <row r="74" spans="1:20" ht="20.100000000000001" customHeight="1" x14ac:dyDescent="0.2">
      <c r="A74" s="84">
        <v>70</v>
      </c>
      <c r="B74" s="98">
        <v>70</v>
      </c>
      <c r="C74" s="99" t="s">
        <v>105</v>
      </c>
      <c r="D74" s="101"/>
      <c r="E74" s="87">
        <v>7</v>
      </c>
      <c r="F74" s="88">
        <f>IF(E74="-",0,IFERROR(IFERROR(VLOOKUP(E74,Атлет!$B$5:$I$104,8,FALSE),(IF(E74&lt;1,0,IF(INT(E74)&gt;=25,100,"Введите целое число")))),"Введите целое число или '-'"))</f>
        <v>28</v>
      </c>
      <c r="G74" s="89">
        <v>4.26</v>
      </c>
      <c r="H74" s="90">
        <f t="array" ref="H74">IF(G74=0,0,IF(MIN(IF(Атлет!$C$5:$C$104&gt;=G74,Атлет!$C$5:$C$104))=0,0,VLOOKUP(MIN(IF(Атлет!$C$5:$C$104&gt;=G74,Атлет!$C$5:$C$104)),Атлет!$C$5:$I$104,7)))</f>
        <v>31</v>
      </c>
      <c r="I74" s="91">
        <v>10</v>
      </c>
      <c r="J74" s="92">
        <f>IF(I74="-",0,IFERROR(IFERROR(VLOOKUP(I74,Атлет!$D$5:$I$104,6,FALSE),(IF(I74&lt;1,0,IF(INT(I74)&gt;=40,100,"Введите целое число")))),"Введите целое число или '-'"))</f>
        <v>20</v>
      </c>
      <c r="K74" s="103">
        <v>4</v>
      </c>
      <c r="L74" s="90">
        <f>IF(K74="-",0,IFERROR(IFERROR(VLOOKUP(K74,Атлет!$E$5:$I$104,5,FALSE),(IF(K74&lt;1,0,IF(INT(K74)&gt;=30,100,"Введите целое число")))),"Введите целое число или '-'"))</f>
        <v>20</v>
      </c>
      <c r="M74" s="87">
        <v>70</v>
      </c>
      <c r="N74" s="92">
        <f>IF(M74="-",0,IFERROR(IFERROR(VLOOKUP(M74,Атлет!$F$5:$I$104,4,FALSE),(IF(M74&lt;1,0,IF(INT(M74)&gt;=90,100,"Введите целое число")))),"Введите целое число или '-'"))</f>
        <v>80</v>
      </c>
      <c r="O74" s="93">
        <v>70</v>
      </c>
      <c r="P74" s="90">
        <f>IF(O74="-",0,IFERROR(IFERROR(VLOOKUP(O74,Атлет!$G$5:$I$104,3,FALSE),(IF(O74&lt;1,0,IF(INT(O74)&gt;=100,100,"Введите целое число")))),"Введите целое число или '-'"))</f>
        <v>70</v>
      </c>
      <c r="Q74" s="95">
        <v>46.3</v>
      </c>
      <c r="R74" s="88">
        <f t="array" ref="R74">IF(Q74=0,0,IF(MIN(IF(Атлет!$H$5:$H$104&gt;=Q74,Атлет!$H$5:$H$104))=0,0,VLOOKUP(MIN(IF(Атлет!$H$5:$H$104&gt;=Q74,Атлет!$H$5:$H$104)),Атлет!$H$5:$I$104,2)))</f>
        <v>31</v>
      </c>
      <c r="S74" s="96">
        <f t="shared" si="2"/>
        <v>280</v>
      </c>
      <c r="T74" s="97">
        <f t="shared" si="3"/>
        <v>76</v>
      </c>
    </row>
    <row r="75" spans="1:20" ht="20.100000000000001" customHeight="1" x14ac:dyDescent="0.2">
      <c r="A75" s="84">
        <v>71</v>
      </c>
      <c r="B75" s="98">
        <v>71</v>
      </c>
      <c r="C75" s="85" t="s">
        <v>18</v>
      </c>
      <c r="D75" s="86"/>
      <c r="E75" s="87">
        <v>6</v>
      </c>
      <c r="F75" s="88">
        <f>IF(E75="-",0,IFERROR(IFERROR(VLOOKUP(E75,Атлет!$B$5:$I$104,8,FALSE),(IF(E75&lt;1,0,IF(INT(E75)&gt;=25,100,"Введите целое число")))),"Введите целое число или '-'"))</f>
        <v>24</v>
      </c>
      <c r="G75" s="89">
        <v>4.3</v>
      </c>
      <c r="H75" s="90">
        <f t="array" ref="H75">IF(G75=0,0,IF(MIN(IF(Атлет!$C$5:$C$104&gt;=G75,Атлет!$C$5:$C$104))=0,0,VLOOKUP(MIN(IF(Атлет!$C$5:$C$104&gt;=G75,Атлет!$C$5:$C$104)),Атлет!$C$5:$I$104,7)))</f>
        <v>30</v>
      </c>
      <c r="I75" s="91">
        <v>9</v>
      </c>
      <c r="J75" s="92">
        <f>IF(I75="-",0,IFERROR(IFERROR(VLOOKUP(I75,Атлет!$D$5:$I$104,6,FALSE),(IF(I75&lt;1,0,IF(INT(I75)&gt;=40,100,"Введите целое число")))),"Введите целое число или '-'"))</f>
        <v>18</v>
      </c>
      <c r="K75" s="103">
        <v>5</v>
      </c>
      <c r="L75" s="90">
        <f>IF(K75="-",0,IFERROR(IFERROR(VLOOKUP(K75,Атлет!$E$5:$I$104,5,FALSE),(IF(K75&lt;1,0,IF(INT(K75)&gt;=30,100,"Введите целое число")))),"Введите целое число или '-'"))</f>
        <v>24</v>
      </c>
      <c r="M75" s="94">
        <v>71</v>
      </c>
      <c r="N75" s="92">
        <f>IF(M75="-",0,IFERROR(IFERROR(VLOOKUP(M75,Атлет!$F$5:$I$104,4,FALSE),(IF(M75&lt;1,0,IF(INT(M75)&gt;=90,100,"Введите целое число")))),"Введите целое число или '-'"))</f>
        <v>81</v>
      </c>
      <c r="O75" s="93">
        <v>71</v>
      </c>
      <c r="P75" s="90">
        <f>IF(O75="-",0,IFERROR(IFERROR(VLOOKUP(O75,Атлет!$G$5:$I$104,3,FALSE),(IF(O75&lt;1,0,IF(INT(O75)&gt;=100,100,"Введите целое число")))),"Введите целое число или '-'"))</f>
        <v>71</v>
      </c>
      <c r="Q75" s="95">
        <v>46.4</v>
      </c>
      <c r="R75" s="88">
        <f t="array" ref="R75">IF(Q75=0,0,IF(MIN(IF(Атлет!$H$5:$H$104&gt;=Q75,Атлет!$H$5:$H$104))=0,0,VLOOKUP(MIN(IF(Атлет!$H$5:$H$104&gt;=Q75,Атлет!$H$5:$H$104)),Атлет!$H$5:$I$104,2)))</f>
        <v>30</v>
      </c>
      <c r="S75" s="96">
        <f t="shared" si="2"/>
        <v>278</v>
      </c>
      <c r="T75" s="97">
        <f t="shared" si="3"/>
        <v>78</v>
      </c>
    </row>
    <row r="76" spans="1:20" ht="20.100000000000001" customHeight="1" x14ac:dyDescent="0.2">
      <c r="A76" s="84">
        <v>72</v>
      </c>
      <c r="B76" s="98">
        <v>72</v>
      </c>
      <c r="C76" s="85" t="s">
        <v>17</v>
      </c>
      <c r="D76" s="101"/>
      <c r="E76" s="87">
        <v>5</v>
      </c>
      <c r="F76" s="88">
        <f>IF(E76="-",0,IFERROR(IFERROR(VLOOKUP(E76,Атлет!$B$5:$I$104,8,FALSE),(IF(E76&lt;1,0,IF(INT(E76)&gt;=25,100,"Введите целое число")))),"Введите целое число или '-'"))</f>
        <v>20</v>
      </c>
      <c r="G76" s="89">
        <v>4.32</v>
      </c>
      <c r="H76" s="90">
        <f t="array" ref="H76">IF(G76=0,0,IF(MIN(IF(Атлет!$C$5:$C$104&gt;=G76,Атлет!$C$5:$C$104))=0,0,VLOOKUP(MIN(IF(Атлет!$C$5:$C$104&gt;=G76,Атлет!$C$5:$C$104)),Атлет!$C$5:$I$104,7)))</f>
        <v>29</v>
      </c>
      <c r="I76" s="91">
        <v>8</v>
      </c>
      <c r="J76" s="92">
        <f>IF(I76="-",0,IFERROR(IFERROR(VLOOKUP(I76,Атлет!$D$5:$I$104,6,FALSE),(IF(I76&lt;1,0,IF(INT(I76)&gt;=40,100,"Введите целое число")))),"Введите целое число или '-'"))</f>
        <v>16</v>
      </c>
      <c r="K76" s="93">
        <v>6</v>
      </c>
      <c r="L76" s="90">
        <f>IF(K76="-",0,IFERROR(IFERROR(VLOOKUP(K76,Атлет!$E$5:$I$104,5,FALSE),(IF(K76&lt;1,0,IF(INT(K76)&gt;=30,100,"Введите целое число")))),"Введите целое число или '-'"))</f>
        <v>28</v>
      </c>
      <c r="M76" s="94">
        <v>72</v>
      </c>
      <c r="N76" s="92">
        <f>IF(M76="-",0,IFERROR(IFERROR(VLOOKUP(M76,Атлет!$F$5:$I$104,4,FALSE),(IF(M76&lt;1,0,IF(INT(M76)&gt;=90,100,"Введите целое число")))),"Введите целое число или '-'"))</f>
        <v>82</v>
      </c>
      <c r="O76" s="93">
        <v>72</v>
      </c>
      <c r="P76" s="90">
        <f>IF(O76="-",0,IFERROR(IFERROR(VLOOKUP(O76,Атлет!$G$5:$I$104,3,FALSE),(IF(O76&lt;1,0,IF(INT(O76)&gt;=100,100,"Введите целое число")))),"Введите целое число или '-'"))</f>
        <v>72</v>
      </c>
      <c r="Q76" s="95">
        <v>46.5</v>
      </c>
      <c r="R76" s="88">
        <f t="array" ref="R76">IF(Q76=0,0,IF(MIN(IF(Атлет!$H$5:$H$104&gt;=Q76,Атлет!$H$5:$H$104))=0,0,VLOOKUP(MIN(IF(Атлет!$H$5:$H$104&gt;=Q76,Атлет!$H$5:$H$104)),Атлет!$H$5:$I$104,2)))</f>
        <v>29</v>
      </c>
      <c r="S76" s="96">
        <f t="shared" si="2"/>
        <v>276</v>
      </c>
      <c r="T76" s="97">
        <f t="shared" si="3"/>
        <v>79</v>
      </c>
    </row>
    <row r="77" spans="1:20" ht="20.100000000000001" customHeight="1" x14ac:dyDescent="0.2">
      <c r="A77" s="84">
        <v>73</v>
      </c>
      <c r="B77" s="98">
        <v>73</v>
      </c>
      <c r="C77" s="85" t="s">
        <v>16</v>
      </c>
      <c r="D77" s="102"/>
      <c r="E77" s="87">
        <v>4</v>
      </c>
      <c r="F77" s="88">
        <f>IF(E77="-",0,IFERROR(IFERROR(VLOOKUP(E77,Атлет!$B$5:$I$104,8,FALSE),(IF(E77&lt;1,0,IF(INT(E77)&gt;=25,100,"Введите целое число")))),"Введите целое число или '-'"))</f>
        <v>16</v>
      </c>
      <c r="G77" s="89">
        <v>4.34</v>
      </c>
      <c r="H77" s="90">
        <f t="array" ref="H77">IF(G77=0,0,IF(MIN(IF(Атлет!$C$5:$C$104&gt;=G77,Атлет!$C$5:$C$104))=0,0,VLOOKUP(MIN(IF(Атлет!$C$5:$C$104&gt;=G77,Атлет!$C$5:$C$104)),Атлет!$C$5:$I$104,7)))</f>
        <v>28</v>
      </c>
      <c r="I77" s="91">
        <v>7</v>
      </c>
      <c r="J77" s="92">
        <f>IF(I77="-",0,IFERROR(IFERROR(VLOOKUP(I77,Атлет!$D$5:$I$104,6,FALSE),(IF(I77&lt;1,0,IF(INT(I77)&gt;=40,100,"Введите целое число")))),"Введите целое число или '-'"))</f>
        <v>14</v>
      </c>
      <c r="K77" s="103">
        <v>7</v>
      </c>
      <c r="L77" s="90">
        <f>IF(K77="-",0,IFERROR(IFERROR(VLOOKUP(K77,Атлет!$E$5:$I$104,5,FALSE),(IF(K77&lt;1,0,IF(INT(K77)&gt;=30,100,"Введите целое число")))),"Введите целое число или '-'"))</f>
        <v>32</v>
      </c>
      <c r="M77" s="87">
        <v>73</v>
      </c>
      <c r="N77" s="92">
        <f>IF(M77="-",0,IFERROR(IFERROR(VLOOKUP(M77,Атлет!$F$5:$I$104,4,FALSE),(IF(M77&lt;1,0,IF(INT(M77)&gt;=90,100,"Введите целое число")))),"Введите целое число или '-'"))</f>
        <v>83</v>
      </c>
      <c r="O77" s="93">
        <v>73</v>
      </c>
      <c r="P77" s="90">
        <f>IF(O77="-",0,IFERROR(IFERROR(VLOOKUP(O77,Атлет!$G$5:$I$104,3,FALSE),(IF(O77&lt;1,0,IF(INT(O77)&gt;=100,100,"Введите целое число")))),"Введите целое число или '-'"))</f>
        <v>73</v>
      </c>
      <c r="Q77" s="95">
        <v>47</v>
      </c>
      <c r="R77" s="88">
        <f t="array" ref="R77">IF(Q77=0,0,IF(MIN(IF(Атлет!$H$5:$H$104&gt;=Q77,Атлет!$H$5:$H$104))=0,0,VLOOKUP(MIN(IF(Атлет!$H$5:$H$104&gt;=Q77,Атлет!$H$5:$H$104)),Атлет!$H$5:$I$104,2)))</f>
        <v>28</v>
      </c>
      <c r="S77" s="96">
        <f t="shared" si="2"/>
        <v>274</v>
      </c>
      <c r="T77" s="97">
        <f t="shared" si="3"/>
        <v>81</v>
      </c>
    </row>
    <row r="78" spans="1:20" ht="20.100000000000001" customHeight="1" x14ac:dyDescent="0.2">
      <c r="A78" s="84">
        <v>74</v>
      </c>
      <c r="B78" s="98">
        <v>74</v>
      </c>
      <c r="C78" s="85" t="s">
        <v>15</v>
      </c>
      <c r="D78" s="101"/>
      <c r="E78" s="87">
        <v>3</v>
      </c>
      <c r="F78" s="88">
        <f>IF(E78="-",0,IFERROR(IFERROR(VLOOKUP(E78,Атлет!$B$5:$I$104,8,FALSE),(IF(E78&lt;1,0,IF(INT(E78)&gt;=25,100,"Введите целое число")))),"Введите целое число или '-'"))</f>
        <v>12</v>
      </c>
      <c r="G78" s="89">
        <v>4.3600000000000003</v>
      </c>
      <c r="H78" s="90">
        <f t="array" ref="H78">IF(G78=0,0,IF(MIN(IF(Атлет!$C$5:$C$104&gt;=G78,Атлет!$C$5:$C$104))=0,0,VLOOKUP(MIN(IF(Атлет!$C$5:$C$104&gt;=G78,Атлет!$C$5:$C$104)),Атлет!$C$5:$I$104,7)))</f>
        <v>27</v>
      </c>
      <c r="I78" s="91">
        <v>6</v>
      </c>
      <c r="J78" s="92">
        <f>IF(I78="-",0,IFERROR(IFERROR(VLOOKUP(I78,Атлет!$D$5:$I$104,6,FALSE),(IF(I78&lt;1,0,IF(INT(I78)&gt;=40,100,"Введите целое число")))),"Введите целое число или '-'"))</f>
        <v>12</v>
      </c>
      <c r="K78" s="103">
        <v>8</v>
      </c>
      <c r="L78" s="90">
        <f>IF(K78="-",0,IFERROR(IFERROR(VLOOKUP(K78,Атлет!$E$5:$I$104,5,FALSE),(IF(K78&lt;1,0,IF(INT(K78)&gt;=30,100,"Введите целое число")))),"Введите целое число или '-'"))</f>
        <v>36</v>
      </c>
      <c r="M78" s="94">
        <v>74</v>
      </c>
      <c r="N78" s="92">
        <f>IF(M78="-",0,IFERROR(IFERROR(VLOOKUP(M78,Атлет!$F$5:$I$104,4,FALSE),(IF(M78&lt;1,0,IF(INT(M78)&gt;=90,100,"Введите целое число")))),"Введите целое число или '-'"))</f>
        <v>84</v>
      </c>
      <c r="O78" s="93">
        <v>74</v>
      </c>
      <c r="P78" s="90">
        <f>IF(O78="-",0,IFERROR(IFERROR(VLOOKUP(O78,Атлет!$G$5:$I$104,3,FALSE),(IF(O78&lt;1,0,IF(INT(O78)&gt;=100,100,"Введите целое число")))),"Введите целое число или '-'"))</f>
        <v>74</v>
      </c>
      <c r="Q78" s="95">
        <v>47.1</v>
      </c>
      <c r="R78" s="88">
        <f t="array" ref="R78">IF(Q78=0,0,IF(MIN(IF(Атлет!$H$5:$H$104&gt;=Q78,Атлет!$H$5:$H$104))=0,0,VLOOKUP(MIN(IF(Атлет!$H$5:$H$104&gt;=Q78,Атлет!$H$5:$H$104)),Атлет!$H$5:$I$104,2)))</f>
        <v>27</v>
      </c>
      <c r="S78" s="96">
        <f t="shared" si="2"/>
        <v>272</v>
      </c>
      <c r="T78" s="97">
        <f t="shared" si="3"/>
        <v>83</v>
      </c>
    </row>
    <row r="79" spans="1:20" ht="20.100000000000001" customHeight="1" x14ac:dyDescent="0.2">
      <c r="A79" s="84">
        <v>75</v>
      </c>
      <c r="B79" s="98">
        <v>75</v>
      </c>
      <c r="C79" s="85" t="s">
        <v>14</v>
      </c>
      <c r="D79" s="101"/>
      <c r="E79" s="87">
        <v>2</v>
      </c>
      <c r="F79" s="88">
        <f>IF(E79="-",0,IFERROR(IFERROR(VLOOKUP(E79,Атлет!$B$5:$I$104,8,FALSE),(IF(E79&lt;1,0,IF(INT(E79)&gt;=25,100,"Введите целое число")))),"Введите целое число или '-'"))</f>
        <v>8</v>
      </c>
      <c r="G79" s="89">
        <v>4.38</v>
      </c>
      <c r="H79" s="90">
        <f t="array" ref="H79">IF(G79=0,0,IF(MIN(IF(Атлет!$C$5:$C$104&gt;=G79,Атлет!$C$5:$C$104))=0,0,VLOOKUP(MIN(IF(Атлет!$C$5:$C$104&gt;=G79,Атлет!$C$5:$C$104)),Атлет!$C$5:$I$104,7)))</f>
        <v>26</v>
      </c>
      <c r="I79" s="91">
        <v>5</v>
      </c>
      <c r="J79" s="92">
        <f>IF(I79="-",0,IFERROR(IFERROR(VLOOKUP(I79,Атлет!$D$5:$I$104,6,FALSE),(IF(I79&lt;1,0,IF(INT(I79)&gt;=40,100,"Введите целое число")))),"Введите целое число или '-'"))</f>
        <v>10</v>
      </c>
      <c r="K79" s="93">
        <v>9</v>
      </c>
      <c r="L79" s="90">
        <f>IF(K79="-",0,IFERROR(IFERROR(VLOOKUP(K79,Атлет!$E$5:$I$104,5,FALSE),(IF(K79&lt;1,0,IF(INT(K79)&gt;=30,100,"Введите целое число")))),"Введите целое число или '-'"))</f>
        <v>40</v>
      </c>
      <c r="M79" s="94">
        <v>75</v>
      </c>
      <c r="N79" s="92">
        <f>IF(M79="-",0,IFERROR(IFERROR(VLOOKUP(M79,Атлет!$F$5:$I$104,4,FALSE),(IF(M79&lt;1,0,IF(INT(M79)&gt;=90,100,"Введите целое число")))),"Введите целое число или '-'"))</f>
        <v>85</v>
      </c>
      <c r="O79" s="93">
        <v>75</v>
      </c>
      <c r="P79" s="90">
        <f>IF(O79="-",0,IFERROR(IFERROR(VLOOKUP(O79,Атлет!$G$5:$I$104,3,FALSE),(IF(O79&lt;1,0,IF(INT(O79)&gt;=100,100,"Введите целое число")))),"Введите целое число или '-'"))</f>
        <v>75</v>
      </c>
      <c r="Q79" s="95">
        <v>47.2</v>
      </c>
      <c r="R79" s="88">
        <f t="array" ref="R79">IF(Q79=0,0,IF(MIN(IF(Атлет!$H$5:$H$104&gt;=Q79,Атлет!$H$5:$H$104))=0,0,VLOOKUP(MIN(IF(Атлет!$H$5:$H$104&gt;=Q79,Атлет!$H$5:$H$104)),Атлет!$H$5:$I$104,2)))</f>
        <v>26</v>
      </c>
      <c r="S79" s="96">
        <f t="shared" si="2"/>
        <v>270</v>
      </c>
      <c r="T79" s="97">
        <f t="shared" si="3"/>
        <v>84</v>
      </c>
    </row>
    <row r="80" spans="1:20" ht="20.100000000000001" customHeight="1" x14ac:dyDescent="0.2">
      <c r="A80" s="84">
        <v>76</v>
      </c>
      <c r="B80" s="98">
        <v>76</v>
      </c>
      <c r="C80" s="85" t="s">
        <v>13</v>
      </c>
      <c r="D80" s="101"/>
      <c r="E80" s="87">
        <v>1</v>
      </c>
      <c r="F80" s="88">
        <f>IF(E80="-",0,IFERROR(IFERROR(VLOOKUP(E80,Атлет!$B$5:$I$104,8,FALSE),(IF(E80&lt;1,0,IF(INT(E80)&gt;=25,100,"Введите целое число")))),"Введите целое число или '-'"))</f>
        <v>4</v>
      </c>
      <c r="G80" s="89">
        <v>4.4000000000000004</v>
      </c>
      <c r="H80" s="90">
        <f t="array" ref="H80">IF(G80=0,0,IF(MIN(IF(Атлет!$C$5:$C$104&gt;=G80,Атлет!$C$5:$C$104))=0,0,VLOOKUP(MIN(IF(Атлет!$C$5:$C$104&gt;=G80,Атлет!$C$5:$C$104)),Атлет!$C$5:$I$104,7)))</f>
        <v>25</v>
      </c>
      <c r="I80" s="91">
        <v>4</v>
      </c>
      <c r="J80" s="92">
        <f>IF(I80="-",0,IFERROR(IFERROR(VLOOKUP(I80,Атлет!$D$5:$I$104,6,FALSE),(IF(I80&lt;1,0,IF(INT(I80)&gt;=40,100,"Введите целое число")))),"Введите целое число или '-'"))</f>
        <v>8</v>
      </c>
      <c r="K80" s="103">
        <v>10</v>
      </c>
      <c r="L80" s="90">
        <f>IF(K80="-",0,IFERROR(IFERROR(VLOOKUP(K80,Атлет!$E$5:$I$104,5,FALSE),(IF(K80&lt;1,0,IF(INT(K80)&gt;=30,100,"Введите целое число")))),"Введите целое число или '-'"))</f>
        <v>44</v>
      </c>
      <c r="M80" s="87">
        <v>76</v>
      </c>
      <c r="N80" s="92">
        <f>IF(M80="-",0,IFERROR(IFERROR(VLOOKUP(M80,Атлет!$F$5:$I$104,4,FALSE),(IF(M80&lt;1,0,IF(INT(M80)&gt;=90,100,"Введите целое число")))),"Введите целое число или '-'"))</f>
        <v>86</v>
      </c>
      <c r="O80" s="93">
        <v>76</v>
      </c>
      <c r="P80" s="90">
        <f>IF(O80="-",0,IFERROR(IFERROR(VLOOKUP(O80,Атлет!$G$5:$I$104,3,FALSE),(IF(O80&lt;1,0,IF(INT(O80)&gt;=100,100,"Введите целое число")))),"Введите целое число или '-'"))</f>
        <v>76</v>
      </c>
      <c r="Q80" s="95">
        <v>47.3</v>
      </c>
      <c r="R80" s="88">
        <f t="array" ref="R80">IF(Q80=0,0,IF(MIN(IF(Атлет!$H$5:$H$104&gt;=Q80,Атлет!$H$5:$H$104))=0,0,VLOOKUP(MIN(IF(Атлет!$H$5:$H$104&gt;=Q80,Атлет!$H$5:$H$104)),Атлет!$H$5:$I$104,2)))</f>
        <v>25</v>
      </c>
      <c r="S80" s="96">
        <f t="shared" si="2"/>
        <v>268</v>
      </c>
      <c r="T80" s="97">
        <f t="shared" si="3"/>
        <v>86</v>
      </c>
    </row>
    <row r="81" spans="1:20" ht="20.100000000000001" customHeight="1" x14ac:dyDescent="0.2">
      <c r="A81" s="84">
        <v>77</v>
      </c>
      <c r="B81" s="98">
        <v>77</v>
      </c>
      <c r="C81" s="85" t="s">
        <v>12</v>
      </c>
      <c r="D81" s="105"/>
      <c r="E81" s="87">
        <v>0</v>
      </c>
      <c r="F81" s="88">
        <f>IF(E81="-",0,IFERROR(IFERROR(VLOOKUP(E81,Атлет!$B$5:$I$104,8,FALSE),(IF(E81&lt;1,0,IF(INT(E81)&gt;=25,100,"Введите целое число")))),"Введите целое число или '-'"))</f>
        <v>0</v>
      </c>
      <c r="G81" s="89">
        <v>4.42</v>
      </c>
      <c r="H81" s="90">
        <f t="array" ref="H81">IF(G81=0,0,IF(MIN(IF(Атлет!$C$5:$C$104&gt;=G81,Атлет!$C$5:$C$104))=0,0,VLOOKUP(MIN(IF(Атлет!$C$5:$C$104&gt;=G81,Атлет!$C$5:$C$104)),Атлет!$C$5:$I$104,7)))</f>
        <v>24</v>
      </c>
      <c r="I81" s="91">
        <v>3</v>
      </c>
      <c r="J81" s="92">
        <f>IF(I81="-",0,IFERROR(IFERROR(VLOOKUP(I81,Атлет!$D$5:$I$104,6,FALSE),(IF(I81&lt;1,0,IF(INT(I81)&gt;=40,100,"Введите целое число")))),"Введите целое число или '-'"))</f>
        <v>6</v>
      </c>
      <c r="K81" s="103">
        <v>11</v>
      </c>
      <c r="L81" s="90">
        <f>IF(K81="-",0,IFERROR(IFERROR(VLOOKUP(K81,Атлет!$E$5:$I$104,5,FALSE),(IF(K81&lt;1,0,IF(INT(K81)&gt;=30,100,"Введите целое число")))),"Введите целое число или '-'"))</f>
        <v>48</v>
      </c>
      <c r="M81" s="94">
        <v>77</v>
      </c>
      <c r="N81" s="92">
        <f>IF(M81="-",0,IFERROR(IFERROR(VLOOKUP(M81,Атлет!$F$5:$I$104,4,FALSE),(IF(M81&lt;1,0,IF(INT(M81)&gt;=90,100,"Введите целое число")))),"Введите целое число или '-'"))</f>
        <v>87</v>
      </c>
      <c r="O81" s="93">
        <v>77</v>
      </c>
      <c r="P81" s="90">
        <f>IF(O81="-",0,IFERROR(IFERROR(VLOOKUP(O81,Атлет!$G$5:$I$104,3,FALSE),(IF(O81&lt;1,0,IF(INT(O81)&gt;=100,100,"Введите целое число")))),"Введите целое число или '-'"))</f>
        <v>77</v>
      </c>
      <c r="Q81" s="95">
        <v>47.4</v>
      </c>
      <c r="R81" s="88">
        <f t="array" ref="R81">IF(Q81=0,0,IF(MIN(IF(Атлет!$H$5:$H$104&gt;=Q81,Атлет!$H$5:$H$104))=0,0,VLOOKUP(MIN(IF(Атлет!$H$5:$H$104&gt;=Q81,Атлет!$H$5:$H$104)),Атлет!$H$5:$I$104,2)))</f>
        <v>24</v>
      </c>
      <c r="S81" s="96">
        <f t="shared" si="2"/>
        <v>266</v>
      </c>
      <c r="T81" s="97">
        <f t="shared" si="3"/>
        <v>88</v>
      </c>
    </row>
    <row r="82" spans="1:20" ht="20.100000000000001" customHeight="1" x14ac:dyDescent="0.2">
      <c r="A82" s="84">
        <v>78</v>
      </c>
      <c r="B82" s="98">
        <v>78</v>
      </c>
      <c r="C82" s="85" t="s">
        <v>11</v>
      </c>
      <c r="D82" s="101"/>
      <c r="E82" s="87">
        <v>-1</v>
      </c>
      <c r="F82" s="88">
        <f>IF(E82="-",0,IFERROR(IFERROR(VLOOKUP(E82,Атлет!$B$5:$I$104,8,FALSE),(IF(E82&lt;1,0,IF(INT(E82)&gt;=25,100,"Введите целое число")))),"Введите целое число или '-'"))</f>
        <v>0</v>
      </c>
      <c r="G82" s="89">
        <v>4.4400000000000004</v>
      </c>
      <c r="H82" s="90">
        <f t="array" ref="H82">IF(G82=0,0,IF(MIN(IF(Атлет!$C$5:$C$104&gt;=G82,Атлет!$C$5:$C$104))=0,0,VLOOKUP(MIN(IF(Атлет!$C$5:$C$104&gt;=G82,Атлет!$C$5:$C$104)),Атлет!$C$5:$I$104,7)))</f>
        <v>23</v>
      </c>
      <c r="I82" s="91">
        <v>2</v>
      </c>
      <c r="J82" s="92">
        <f>IF(I82="-",0,IFERROR(IFERROR(VLOOKUP(I82,Атлет!$D$5:$I$104,6,FALSE),(IF(I82&lt;1,0,IF(INT(I82)&gt;=40,100,"Введите целое число")))),"Введите целое число или '-'"))</f>
        <v>4</v>
      </c>
      <c r="K82" s="93">
        <v>12</v>
      </c>
      <c r="L82" s="90">
        <f>IF(K82="-",0,IFERROR(IFERROR(VLOOKUP(K82,Атлет!$E$5:$I$104,5,FALSE),(IF(K82&lt;1,0,IF(INT(K82)&gt;=30,100,"Введите целое число")))),"Введите целое число или '-'"))</f>
        <v>52</v>
      </c>
      <c r="M82" s="94">
        <v>78</v>
      </c>
      <c r="N82" s="92">
        <f>IF(M82="-",0,IFERROR(IFERROR(VLOOKUP(M82,Атлет!$F$5:$I$104,4,FALSE),(IF(M82&lt;1,0,IF(INT(M82)&gt;=90,100,"Введите целое число")))),"Введите целое число или '-'"))</f>
        <v>88</v>
      </c>
      <c r="O82" s="93">
        <v>78</v>
      </c>
      <c r="P82" s="90">
        <f>IF(O82="-",0,IFERROR(IFERROR(VLOOKUP(O82,Атлет!$G$5:$I$104,3,FALSE),(IF(O82&lt;1,0,IF(INT(O82)&gt;=100,100,"Введите целое число")))),"Введите целое число или '-'"))</f>
        <v>78</v>
      </c>
      <c r="Q82" s="95">
        <v>47.5</v>
      </c>
      <c r="R82" s="88">
        <f t="array" ref="R82">IF(Q82=0,0,IF(MIN(IF(Атлет!$H$5:$H$104&gt;=Q82,Атлет!$H$5:$H$104))=0,0,VLOOKUP(MIN(IF(Атлет!$H$5:$H$104&gt;=Q82,Атлет!$H$5:$H$104)),Атлет!$H$5:$I$104,2)))</f>
        <v>23</v>
      </c>
      <c r="S82" s="96">
        <f t="shared" si="2"/>
        <v>268</v>
      </c>
      <c r="T82" s="97">
        <f t="shared" si="3"/>
        <v>86</v>
      </c>
    </row>
    <row r="83" spans="1:20" ht="20.100000000000001" customHeight="1" x14ac:dyDescent="0.2">
      <c r="A83" s="84">
        <v>79</v>
      </c>
      <c r="B83" s="98">
        <v>79</v>
      </c>
      <c r="C83" s="85" t="s">
        <v>10</v>
      </c>
      <c r="D83" s="101"/>
      <c r="E83" s="87">
        <v>-2</v>
      </c>
      <c r="F83" s="88">
        <f>IF(E83="-",0,IFERROR(IFERROR(VLOOKUP(E83,Атлет!$B$5:$I$104,8,FALSE),(IF(E83&lt;1,0,IF(INT(E83)&gt;=25,100,"Введите целое число")))),"Введите целое число или '-'"))</f>
        <v>0</v>
      </c>
      <c r="G83" s="89">
        <v>4.46</v>
      </c>
      <c r="H83" s="90">
        <f t="array" ref="H83">IF(G83=0,0,IF(MIN(IF(Атлет!$C$5:$C$104&gt;=G83,Атлет!$C$5:$C$104))=0,0,VLOOKUP(MIN(IF(Атлет!$C$5:$C$104&gt;=G83,Атлет!$C$5:$C$104)),Атлет!$C$5:$I$104,7)))</f>
        <v>22</v>
      </c>
      <c r="I83" s="91">
        <v>1</v>
      </c>
      <c r="J83" s="92">
        <f>IF(I83="-",0,IFERROR(IFERROR(VLOOKUP(I83,Атлет!$D$5:$I$104,6,FALSE),(IF(I83&lt;1,0,IF(INT(I83)&gt;=40,100,"Введите целое число")))),"Введите целое число или '-'"))</f>
        <v>2</v>
      </c>
      <c r="K83" s="103">
        <v>13</v>
      </c>
      <c r="L83" s="90">
        <f>IF(K83="-",0,IFERROR(IFERROR(VLOOKUP(K83,Атлет!$E$5:$I$104,5,FALSE),(IF(K83&lt;1,0,IF(INT(K83)&gt;=30,100,"Введите целое число")))),"Введите целое число или '-'"))</f>
        <v>56</v>
      </c>
      <c r="M83" s="87">
        <v>79</v>
      </c>
      <c r="N83" s="92">
        <f>IF(M83="-",0,IFERROR(IFERROR(VLOOKUP(M83,Атлет!$F$5:$I$104,4,FALSE),(IF(M83&lt;1,0,IF(INT(M83)&gt;=90,100,"Введите целое число")))),"Введите целое число или '-'"))</f>
        <v>89</v>
      </c>
      <c r="O83" s="93">
        <v>79</v>
      </c>
      <c r="P83" s="90">
        <f>IF(O83="-",0,IFERROR(IFERROR(VLOOKUP(O83,Атлет!$G$5:$I$104,3,FALSE),(IF(O83&lt;1,0,IF(INT(O83)&gt;=100,100,"Введите целое число")))),"Введите целое число или '-'"))</f>
        <v>79</v>
      </c>
      <c r="Q83" s="95">
        <v>48</v>
      </c>
      <c r="R83" s="88">
        <f t="array" ref="R83">IF(Q83=0,0,IF(MIN(IF(Атлет!$H$5:$H$104&gt;=Q83,Атлет!$H$5:$H$104))=0,0,VLOOKUP(MIN(IF(Атлет!$H$5:$H$104&gt;=Q83,Атлет!$H$5:$H$104)),Атлет!$H$5:$I$104,2)))</f>
        <v>22</v>
      </c>
      <c r="S83" s="96">
        <f t="shared" si="2"/>
        <v>270</v>
      </c>
      <c r="T83" s="97">
        <f t="shared" si="3"/>
        <v>84</v>
      </c>
    </row>
    <row r="84" spans="1:20" ht="20.100000000000001" customHeight="1" x14ac:dyDescent="0.2">
      <c r="A84" s="84">
        <v>80</v>
      </c>
      <c r="B84" s="98">
        <v>80</v>
      </c>
      <c r="C84" s="85" t="s">
        <v>9</v>
      </c>
      <c r="D84" s="101"/>
      <c r="E84" s="87">
        <v>-3</v>
      </c>
      <c r="F84" s="88">
        <f>IF(E84="-",0,IFERROR(IFERROR(VLOOKUP(E84,Атлет!$B$5:$I$104,8,FALSE),(IF(E84&lt;1,0,IF(INT(E84)&gt;=25,100,"Введите целое число")))),"Введите целое число или '-'"))</f>
        <v>0</v>
      </c>
      <c r="G84" s="89">
        <v>4.4800000000000004</v>
      </c>
      <c r="H84" s="90">
        <f t="array" ref="H84">IF(G84=0,0,IF(MIN(IF(Атлет!$C$5:$C$104&gt;=G84,Атлет!$C$5:$C$104))=0,0,VLOOKUP(MIN(IF(Атлет!$C$5:$C$104&gt;=G84,Атлет!$C$5:$C$104)),Атлет!$C$5:$I$104,7)))</f>
        <v>21</v>
      </c>
      <c r="I84" s="91"/>
      <c r="J84" s="92">
        <f>IF(I84="-",0,IFERROR(IFERROR(VLOOKUP(I84,Атлет!$D$5:$I$104,6,FALSE),(IF(I84&lt;1,0,IF(INT(I84)&gt;=40,100,"Введите целое число")))),"Введите целое число или '-'"))</f>
        <v>0</v>
      </c>
      <c r="K84" s="103">
        <v>14</v>
      </c>
      <c r="L84" s="90">
        <f>IF(K84="-",0,IFERROR(IFERROR(VLOOKUP(K84,Атлет!$E$5:$I$104,5,FALSE),(IF(K84&lt;1,0,IF(INT(K84)&gt;=30,100,"Введите целое число")))),"Введите целое число или '-'"))</f>
        <v>60</v>
      </c>
      <c r="M84" s="94">
        <v>80</v>
      </c>
      <c r="N84" s="92">
        <f>IF(M84="-",0,IFERROR(IFERROR(VLOOKUP(M84,Атлет!$F$5:$I$104,4,FALSE),(IF(M84&lt;1,0,IF(INT(M84)&gt;=90,100,"Введите целое число")))),"Введите целое число или '-'"))</f>
        <v>90</v>
      </c>
      <c r="O84" s="93">
        <v>80</v>
      </c>
      <c r="P84" s="90">
        <f>IF(O84="-",0,IFERROR(IFERROR(VLOOKUP(O84,Атлет!$G$5:$I$104,3,FALSE),(IF(O84&lt;1,0,IF(INT(O84)&gt;=100,100,"Введите целое число")))),"Введите целое число или '-'"))</f>
        <v>80</v>
      </c>
      <c r="Q84" s="95">
        <v>49.05</v>
      </c>
      <c r="R84" s="88">
        <f t="array" ref="R84">IF(Q84=0,0,IF(MIN(IF(Атлет!$H$5:$H$104&gt;=Q84,Атлет!$H$5:$H$104))=0,0,VLOOKUP(MIN(IF(Атлет!$H$5:$H$104&gt;=Q84,Атлет!$H$5:$H$104)),Атлет!$H$5:$I$104,2)))</f>
        <v>15</v>
      </c>
      <c r="S84" s="96">
        <f t="shared" si="2"/>
        <v>266</v>
      </c>
      <c r="T84" s="97">
        <f t="shared" si="3"/>
        <v>88</v>
      </c>
    </row>
    <row r="85" spans="1:20" ht="20.100000000000001" customHeight="1" x14ac:dyDescent="0.2">
      <c r="A85" s="84">
        <v>81</v>
      </c>
      <c r="B85" s="98">
        <v>81</v>
      </c>
      <c r="C85" s="85" t="s">
        <v>20</v>
      </c>
      <c r="D85" s="86"/>
      <c r="E85" s="87">
        <v>-4</v>
      </c>
      <c r="F85" s="88">
        <f>IF(E85="-",0,IFERROR(IFERROR(VLOOKUP(E85,Атлет!$B$5:$I$104,8,FALSE),(IF(E85&lt;1,0,IF(INT(E85)&gt;=25,100,"Введите целое число")))),"Введите целое число или '-'"))</f>
        <v>0</v>
      </c>
      <c r="G85" s="89">
        <v>4.5</v>
      </c>
      <c r="H85" s="90">
        <f t="array" ref="H85">IF(G85=0,0,IF(MIN(IF(Атлет!$C$5:$C$104&gt;=G85,Атлет!$C$5:$C$104))=0,0,VLOOKUP(MIN(IF(Атлет!$C$5:$C$104&gt;=G85,Атлет!$C$5:$C$104)),Атлет!$C$5:$I$104,7)))</f>
        <v>20</v>
      </c>
      <c r="I85" s="91"/>
      <c r="J85" s="92">
        <f>IF(I85="-",0,IFERROR(IFERROR(VLOOKUP(I85,Атлет!$D$5:$I$104,6,FALSE),(IF(I85&lt;1,0,IF(INT(I85)&gt;=40,100,"Введите целое число")))),"Введите целое число или '-'"))</f>
        <v>0</v>
      </c>
      <c r="K85" s="93">
        <v>15</v>
      </c>
      <c r="L85" s="90">
        <f>IF(K85="-",0,IFERROR(IFERROR(VLOOKUP(K85,Атлет!$E$5:$I$104,5,FALSE),(IF(K85&lt;1,0,IF(INT(K85)&gt;=30,100,"Введите целое число")))),"Введите целое число или '-'"))</f>
        <v>64</v>
      </c>
      <c r="M85" s="94">
        <v>81</v>
      </c>
      <c r="N85" s="92">
        <f>IF(M85="-",0,IFERROR(IFERROR(VLOOKUP(M85,Атлет!$F$5:$I$104,4,FALSE),(IF(M85&lt;1,0,IF(INT(M85)&gt;=90,100,"Введите целое число")))),"Введите целое число или '-'"))</f>
        <v>91</v>
      </c>
      <c r="O85" s="93">
        <v>81</v>
      </c>
      <c r="P85" s="90">
        <f>IF(O85="-",0,IFERROR(IFERROR(VLOOKUP(O85,Атлет!$G$5:$I$104,3,FALSE),(IF(O85&lt;1,0,IF(INT(O85)&gt;=100,100,"Введите целое число")))),"Введите целое число или '-'"))</f>
        <v>81</v>
      </c>
      <c r="Q85" s="95">
        <v>48.2</v>
      </c>
      <c r="R85" s="88">
        <f t="array" ref="R85">IF(Q85=0,0,IF(MIN(IF(Атлет!$H$5:$H$104&gt;=Q85,Атлет!$H$5:$H$104))=0,0,VLOOKUP(MIN(IF(Атлет!$H$5:$H$104&gt;=Q85,Атлет!$H$5:$H$104)),Атлет!$H$5:$I$104,2)))</f>
        <v>20</v>
      </c>
      <c r="S85" s="96">
        <f t="shared" si="2"/>
        <v>276</v>
      </c>
      <c r="T85" s="97">
        <f t="shared" si="3"/>
        <v>79</v>
      </c>
    </row>
    <row r="86" spans="1:20" ht="20.100000000000001" customHeight="1" x14ac:dyDescent="0.2">
      <c r="A86" s="84">
        <v>82</v>
      </c>
      <c r="B86" s="98">
        <v>82</v>
      </c>
      <c r="C86" s="85" t="s">
        <v>19</v>
      </c>
      <c r="D86" s="86"/>
      <c r="E86" s="87">
        <v>-5</v>
      </c>
      <c r="F86" s="88">
        <f>IF(E86="-",0,IFERROR(IFERROR(VLOOKUP(E86,Атлет!$B$5:$I$104,8,FALSE),(IF(E86&lt;1,0,IF(INT(E86)&gt;=25,100,"Введите целое число")))),"Введите целое число или '-'"))</f>
        <v>0</v>
      </c>
      <c r="G86" s="89">
        <v>4.5199999999999996</v>
      </c>
      <c r="H86" s="90">
        <f t="array" ref="H86">IF(G86=0,0,IF(MIN(IF(Атлет!$C$5:$C$104&gt;=G86,Атлет!$C$5:$C$104))=0,0,VLOOKUP(MIN(IF(Атлет!$C$5:$C$104&gt;=G86,Атлет!$C$5:$C$104)),Атлет!$C$5:$I$104,7)))</f>
        <v>19</v>
      </c>
      <c r="I86" s="91"/>
      <c r="J86" s="92">
        <f>IF(I86="-",0,IFERROR(IFERROR(VLOOKUP(I86,Атлет!$D$5:$I$104,6,FALSE),(IF(I86&lt;1,0,IF(INT(I86)&gt;=40,100,"Введите целое число")))),"Введите целое число или '-'"))</f>
        <v>0</v>
      </c>
      <c r="K86" s="103">
        <v>16</v>
      </c>
      <c r="L86" s="90">
        <f>IF(K86="-",0,IFERROR(IFERROR(VLOOKUP(K86,Атлет!$E$5:$I$104,5,FALSE),(IF(K86&lt;1,0,IF(INT(K86)&gt;=30,100,"Введите целое число")))),"Введите целое число или '-'"))</f>
        <v>67</v>
      </c>
      <c r="M86" s="87">
        <v>82</v>
      </c>
      <c r="N86" s="92">
        <f>IF(M86="-",0,IFERROR(IFERROR(VLOOKUP(M86,Атлет!$F$5:$I$104,4,FALSE),(IF(M86&lt;1,0,IF(INT(M86)&gt;=90,100,"Введите целое число")))),"Введите целое число или '-'"))</f>
        <v>92</v>
      </c>
      <c r="O86" s="93">
        <v>82</v>
      </c>
      <c r="P86" s="90">
        <f>IF(O86="-",0,IFERROR(IFERROR(VLOOKUP(O86,Атлет!$G$5:$I$104,3,FALSE),(IF(O86&lt;1,0,IF(INT(O86)&gt;=100,100,"Введите целое число")))),"Введите целое число или '-'"))</f>
        <v>82</v>
      </c>
      <c r="Q86" s="95">
        <v>48.3</v>
      </c>
      <c r="R86" s="88">
        <f t="array" ref="R86">IF(Q86=0,0,IF(MIN(IF(Атлет!$H$5:$H$104&gt;=Q86,Атлет!$H$5:$H$104))=0,0,VLOOKUP(MIN(IF(Атлет!$H$5:$H$104&gt;=Q86,Атлет!$H$5:$H$104)),Атлет!$H$5:$I$104,2)))</f>
        <v>19</v>
      </c>
      <c r="S86" s="96">
        <f t="shared" si="2"/>
        <v>279</v>
      </c>
      <c r="T86" s="97">
        <f t="shared" si="3"/>
        <v>77</v>
      </c>
    </row>
    <row r="87" spans="1:20" ht="20.100000000000001" customHeight="1" x14ac:dyDescent="0.3">
      <c r="A87" s="84">
        <v>83</v>
      </c>
      <c r="B87" s="98">
        <v>83</v>
      </c>
      <c r="C87" s="106" t="s">
        <v>21</v>
      </c>
      <c r="D87" s="86"/>
      <c r="E87" s="87">
        <v>-6</v>
      </c>
      <c r="F87" s="88">
        <f>IF(E87="-",0,IFERROR(IFERROR(VLOOKUP(E87,Атлет!$B$5:$I$104,8,FALSE),(IF(E87&lt;1,0,IF(INT(E87)&gt;=25,100,"Введите целое число")))),"Введите целое число или '-'"))</f>
        <v>0</v>
      </c>
      <c r="G87" s="89">
        <v>4.54</v>
      </c>
      <c r="H87" s="90">
        <f t="array" ref="H87">IF(G87=0,0,IF(MIN(IF(Атлет!$C$5:$C$104&gt;=G87,Атлет!$C$5:$C$104))=0,0,VLOOKUP(MIN(IF(Атлет!$C$5:$C$104&gt;=G87,Атлет!$C$5:$C$104)),Атлет!$C$5:$I$104,7)))</f>
        <v>18</v>
      </c>
      <c r="I87" s="91"/>
      <c r="J87" s="92">
        <f>IF(I87="-",0,IFERROR(IFERROR(VLOOKUP(I87,Атлет!$D$5:$I$104,6,FALSE),(IF(I87&lt;1,0,IF(INT(I87)&gt;=40,100,"Введите целое число")))),"Введите целое число или '-'"))</f>
        <v>0</v>
      </c>
      <c r="K87" s="103">
        <v>17</v>
      </c>
      <c r="L87" s="90">
        <f>IF(K87="-",0,IFERROR(IFERROR(VLOOKUP(K87,Атлет!$E$5:$I$104,5,FALSE),(IF(K87&lt;1,0,IF(INT(K87)&gt;=30,100,"Введите целое число")))),"Введите целое число или '-'"))</f>
        <v>70</v>
      </c>
      <c r="M87" s="94">
        <v>83</v>
      </c>
      <c r="N87" s="92">
        <f>IF(M87="-",0,IFERROR(IFERROR(VLOOKUP(M87,Атлет!$F$5:$I$104,4,FALSE),(IF(M87&lt;1,0,IF(INT(M87)&gt;=90,100,"Введите целое число")))),"Введите целое число или '-'"))</f>
        <v>93</v>
      </c>
      <c r="O87" s="93">
        <v>83</v>
      </c>
      <c r="P87" s="90">
        <f>IF(O87="-",0,IFERROR(IFERROR(VLOOKUP(O87,Атлет!$G$5:$I$104,3,FALSE),(IF(O87&lt;1,0,IF(INT(O87)&gt;=100,100,"Введите целое число")))),"Введите целое число или '-'"))</f>
        <v>83</v>
      </c>
      <c r="Q87" s="95">
        <v>48.4</v>
      </c>
      <c r="R87" s="88">
        <f t="array" ref="R87">IF(Q87=0,0,IF(MIN(IF(Атлет!$H$5:$H$104&gt;=Q87,Атлет!$H$5:$H$104))=0,0,VLOOKUP(MIN(IF(Атлет!$H$5:$H$104&gt;=Q87,Атлет!$H$5:$H$104)),Атлет!$H$5:$I$104,2)))</f>
        <v>18</v>
      </c>
      <c r="S87" s="96">
        <f t="shared" si="2"/>
        <v>282</v>
      </c>
      <c r="T87" s="97">
        <f t="shared" si="3"/>
        <v>73</v>
      </c>
    </row>
    <row r="88" spans="1:20" ht="20.100000000000001" customHeight="1" x14ac:dyDescent="0.2">
      <c r="A88" s="84">
        <v>84</v>
      </c>
      <c r="B88" s="98">
        <v>84</v>
      </c>
      <c r="C88" s="99" t="s">
        <v>103</v>
      </c>
      <c r="D88" s="101"/>
      <c r="E88" s="87">
        <v>-7</v>
      </c>
      <c r="F88" s="88">
        <f>IF(E88="-",0,IFERROR(IFERROR(VLOOKUP(E88,Атлет!$B$5:$I$104,8,FALSE),(IF(E88&lt;1,0,IF(INT(E88)&gt;=25,100,"Введите целое число")))),"Введите целое число или '-'"))</f>
        <v>0</v>
      </c>
      <c r="G88" s="89">
        <v>4.5599999999999996</v>
      </c>
      <c r="H88" s="90">
        <f t="array" ref="H88">IF(G88=0,0,IF(MIN(IF(Атлет!$C$5:$C$104&gt;=G88,Атлет!$C$5:$C$104))=0,0,VLOOKUP(MIN(IF(Атлет!$C$5:$C$104&gt;=G88,Атлет!$C$5:$C$104)),Атлет!$C$5:$I$104,7)))</f>
        <v>17</v>
      </c>
      <c r="I88" s="91"/>
      <c r="J88" s="92">
        <f>IF(I88="-",0,IFERROR(IFERROR(VLOOKUP(I88,Атлет!$D$5:$I$104,6,FALSE),(IF(I88&lt;1,0,IF(INT(I88)&gt;=40,100,"Введите целое число")))),"Введите целое число или '-'"))</f>
        <v>0</v>
      </c>
      <c r="K88" s="93">
        <v>18</v>
      </c>
      <c r="L88" s="90">
        <f>IF(K88="-",0,IFERROR(IFERROR(VLOOKUP(K88,Атлет!$E$5:$I$104,5,FALSE),(IF(K88&lt;1,0,IF(INT(K88)&gt;=30,100,"Введите целое число")))),"Введите целое число или '-'"))</f>
        <v>73</v>
      </c>
      <c r="M88" s="94">
        <v>84</v>
      </c>
      <c r="N88" s="92">
        <f>IF(M88="-",0,IFERROR(IFERROR(VLOOKUP(M88,Атлет!$F$5:$I$104,4,FALSE),(IF(M88&lt;1,0,IF(INT(M88)&gt;=90,100,"Введите целое число")))),"Введите целое число или '-'"))</f>
        <v>94</v>
      </c>
      <c r="O88" s="93">
        <v>84</v>
      </c>
      <c r="P88" s="90">
        <f>IF(O88="-",0,IFERROR(IFERROR(VLOOKUP(O88,Атлет!$G$5:$I$104,3,FALSE),(IF(O88&lt;1,0,IF(INT(O88)&gt;=100,100,"Введите целое число")))),"Введите целое число или '-'"))</f>
        <v>84</v>
      </c>
      <c r="Q88" s="95">
        <v>48.5</v>
      </c>
      <c r="R88" s="88">
        <f t="array" ref="R88">IF(Q88=0,0,IF(MIN(IF(Атлет!$H$5:$H$104&gt;=Q88,Атлет!$H$5:$H$104))=0,0,VLOOKUP(MIN(IF(Атлет!$H$5:$H$104&gt;=Q88,Атлет!$H$5:$H$104)),Атлет!$H$5:$I$104,2)))</f>
        <v>17</v>
      </c>
      <c r="S88" s="96">
        <f t="shared" si="2"/>
        <v>285</v>
      </c>
      <c r="T88" s="97">
        <f t="shared" si="3"/>
        <v>69</v>
      </c>
    </row>
    <row r="89" spans="1:20" ht="19.5" customHeight="1" x14ac:dyDescent="0.2">
      <c r="A89" s="84">
        <v>85</v>
      </c>
      <c r="B89" s="98">
        <v>85</v>
      </c>
      <c r="C89" s="85" t="s">
        <v>50</v>
      </c>
      <c r="D89" s="101"/>
      <c r="E89" s="87">
        <v>-8</v>
      </c>
      <c r="F89" s="88">
        <f>IF(E89="-",0,IFERROR(IFERROR(VLOOKUP(E89,Атлет!$B$5:$I$104,8,FALSE),(IF(E89&lt;1,0,IF(INT(E89)&gt;=25,100,"Введите целое число")))),"Введите целое число или '-'"))</f>
        <v>0</v>
      </c>
      <c r="G89" s="89">
        <v>4.58</v>
      </c>
      <c r="H89" s="90">
        <f t="array" ref="H89">IF(G89=0,0,IF(MIN(IF(Атлет!$C$5:$C$104&gt;=G89,Атлет!$C$5:$C$104))=0,0,VLOOKUP(MIN(IF(Атлет!$C$5:$C$104&gt;=G89,Атлет!$C$5:$C$104)),Атлет!$C$5:$I$104,7)))</f>
        <v>16</v>
      </c>
      <c r="I89" s="91"/>
      <c r="J89" s="92">
        <f>IF(I89="-",0,IFERROR(IFERROR(VLOOKUP(I89,Атлет!$D$5:$I$104,6,FALSE),(IF(I89&lt;1,0,IF(INT(I89)&gt;=40,100,"Введите целое число")))),"Введите целое число или '-'"))</f>
        <v>0</v>
      </c>
      <c r="K89" s="103">
        <v>19</v>
      </c>
      <c r="L89" s="90">
        <f>IF(K89="-",0,IFERROR(IFERROR(VLOOKUP(K89,Атлет!$E$5:$I$104,5,FALSE),(IF(K89&lt;1,0,IF(INT(K89)&gt;=30,100,"Введите целое число")))),"Введите целое число или '-'"))</f>
        <v>76</v>
      </c>
      <c r="M89" s="87">
        <v>85</v>
      </c>
      <c r="N89" s="92">
        <f>IF(M89="-",0,IFERROR(IFERROR(VLOOKUP(M89,Атлет!$F$5:$I$104,4,FALSE),(IF(M89&lt;1,0,IF(INT(M89)&gt;=90,100,"Введите целое число")))),"Введите целое число или '-'"))</f>
        <v>95</v>
      </c>
      <c r="O89" s="93">
        <v>85</v>
      </c>
      <c r="P89" s="90">
        <f>IF(O89="-",0,IFERROR(IFERROR(VLOOKUP(O89,Атлет!$G$5:$I$104,3,FALSE),(IF(O89&lt;1,0,IF(INT(O89)&gt;=100,100,"Введите целое число")))),"Введите целое число или '-'"))</f>
        <v>85</v>
      </c>
      <c r="Q89" s="95">
        <v>49</v>
      </c>
      <c r="R89" s="88">
        <f t="array" ref="R89">IF(Q89=0,0,IF(MIN(IF(Атлет!$H$5:$H$104&gt;=Q89,Атлет!$H$5:$H$104))=0,0,VLOOKUP(MIN(IF(Атлет!$H$5:$H$104&gt;=Q89,Атлет!$H$5:$H$104)),Атлет!$H$5:$I$104,2)))</f>
        <v>16</v>
      </c>
      <c r="S89" s="96">
        <f t="shared" si="2"/>
        <v>288</v>
      </c>
      <c r="T89" s="97">
        <f t="shared" si="3"/>
        <v>68</v>
      </c>
    </row>
    <row r="90" spans="1:20" ht="19.5" customHeight="1" x14ac:dyDescent="0.2">
      <c r="A90" s="84">
        <v>86</v>
      </c>
      <c r="B90" s="98">
        <v>86</v>
      </c>
      <c r="C90" s="85" t="s">
        <v>29</v>
      </c>
      <c r="D90" s="101"/>
      <c r="E90" s="87">
        <v>-9</v>
      </c>
      <c r="F90" s="88">
        <f>IF(E90="-",0,IFERROR(IFERROR(VLOOKUP(E90,Атлет!$B$5:$I$104,8,FALSE),(IF(E90&lt;1,0,IF(INT(E90)&gt;=25,100,"Введите целое число")))),"Введите целое число или '-'"))</f>
        <v>0</v>
      </c>
      <c r="G90" s="89">
        <v>5</v>
      </c>
      <c r="H90" s="90">
        <f t="array" ref="H90">IF(G90=0,0,IF(MIN(IF(Атлет!$C$5:$C$104&gt;=G90,Атлет!$C$5:$C$104))=0,0,VLOOKUP(MIN(IF(Атлет!$C$5:$C$104&gt;=G90,Атлет!$C$5:$C$104)),Атлет!$C$5:$I$104,7)))</f>
        <v>15</v>
      </c>
      <c r="I90" s="91"/>
      <c r="J90" s="92">
        <f>IF(I90="-",0,IFERROR(IFERROR(VLOOKUP(I90,Атлет!$D$5:$I$104,6,FALSE),(IF(I90&lt;1,0,IF(INT(I90)&gt;=40,100,"Введите целое число")))),"Введите целое число или '-'"))</f>
        <v>0</v>
      </c>
      <c r="K90" s="103">
        <v>20</v>
      </c>
      <c r="L90" s="90">
        <f>IF(K90="-",0,IFERROR(IFERROR(VLOOKUP(K90,Атлет!$E$5:$I$104,5,FALSE),(IF(K90&lt;1,0,IF(INT(K90)&gt;=30,100,"Введите целое число")))),"Введите целое число или '-'"))</f>
        <v>79</v>
      </c>
      <c r="M90" s="94">
        <v>86</v>
      </c>
      <c r="N90" s="92">
        <f>IF(M90="-",0,IFERROR(IFERROR(VLOOKUP(M90,Атлет!$F$5:$I$104,4,FALSE),(IF(M90&lt;1,0,IF(INT(M90)&gt;=90,100,"Введите целое число")))),"Введите целое число или '-'"))</f>
        <v>96</v>
      </c>
      <c r="O90" s="93">
        <v>86</v>
      </c>
      <c r="P90" s="90">
        <f>IF(O90="-",0,IFERROR(IFERROR(VLOOKUP(O90,Атлет!$G$5:$I$104,3,FALSE),(IF(O90&lt;1,0,IF(INT(O90)&gt;=100,100,"Введите целое число")))),"Введите целое число или '-'"))</f>
        <v>86</v>
      </c>
      <c r="Q90" s="95">
        <v>49.1</v>
      </c>
      <c r="R90" s="88">
        <f t="array" ref="R90">IF(Q90=0,0,IF(MIN(IF(Атлет!$H$5:$H$104&gt;=Q90,Атлет!$H$5:$H$104))=0,0,VLOOKUP(MIN(IF(Атлет!$H$5:$H$104&gt;=Q90,Атлет!$H$5:$H$104)),Атлет!$H$5:$I$104,2)))</f>
        <v>15</v>
      </c>
      <c r="S90" s="96">
        <f t="shared" si="2"/>
        <v>291</v>
      </c>
      <c r="T90" s="97">
        <f t="shared" si="3"/>
        <v>67</v>
      </c>
    </row>
    <row r="91" spans="1:20" ht="19.5" customHeight="1" x14ac:dyDescent="0.3">
      <c r="A91" s="84">
        <v>87</v>
      </c>
      <c r="B91" s="98">
        <v>87</v>
      </c>
      <c r="C91" s="100" t="s">
        <v>77</v>
      </c>
      <c r="D91" s="101"/>
      <c r="E91" s="87">
        <v>-10</v>
      </c>
      <c r="F91" s="88">
        <f>IF(E91="-",0,IFERROR(IFERROR(VLOOKUP(E91,Атлет!$B$5:$I$104,8,FALSE),(IF(E91&lt;1,0,IF(INT(E91)&gt;=25,100,"Введите целое число")))),"Введите целое число или '-'"))</f>
        <v>0</v>
      </c>
      <c r="G91" s="89">
        <v>5.04</v>
      </c>
      <c r="H91" s="90">
        <f t="array" ref="H91">IF(G91=0,0,IF(MIN(IF(Атлет!$C$5:$C$104&gt;=G91,Атлет!$C$5:$C$104))=0,0,VLOOKUP(MIN(IF(Атлет!$C$5:$C$104&gt;=G91,Атлет!$C$5:$C$104)),Атлет!$C$5:$I$104,7)))</f>
        <v>14</v>
      </c>
      <c r="I91" s="91"/>
      <c r="J91" s="92">
        <f>IF(I91="-",0,IFERROR(IFERROR(VLOOKUP(I91,Атлет!$D$5:$I$104,6,FALSE),(IF(I91&lt;1,0,IF(INT(I91)&gt;=40,100,"Введите целое число")))),"Введите целое число или '-'"))</f>
        <v>0</v>
      </c>
      <c r="K91" s="93">
        <v>21</v>
      </c>
      <c r="L91" s="90">
        <f>IF(K91="-",0,IFERROR(IFERROR(VLOOKUP(K91,Атлет!$E$5:$I$104,5,FALSE),(IF(K91&lt;1,0,IF(INT(K91)&gt;=30,100,"Введите целое число")))),"Введите целое число или '-'"))</f>
        <v>82</v>
      </c>
      <c r="M91" s="94">
        <v>87</v>
      </c>
      <c r="N91" s="92">
        <f>IF(M91="-",0,IFERROR(IFERROR(VLOOKUP(M91,Атлет!$F$5:$I$104,4,FALSE),(IF(M91&lt;1,0,IF(INT(M91)&gt;=90,100,"Введите целое число")))),"Введите целое число или '-'"))</f>
        <v>97</v>
      </c>
      <c r="O91" s="93">
        <v>87</v>
      </c>
      <c r="P91" s="90">
        <f>IF(O91="-",0,IFERROR(IFERROR(VLOOKUP(O91,Атлет!$G$5:$I$104,3,FALSE),(IF(O91&lt;1,0,IF(INT(O91)&gt;=100,100,"Введите целое число")))),"Введите целое число или '-'"))</f>
        <v>87</v>
      </c>
      <c r="Q91" s="95">
        <v>49.2</v>
      </c>
      <c r="R91" s="88">
        <f t="array" ref="R91">IF(Q91=0,0,IF(MIN(IF(Атлет!$H$5:$H$104&gt;=Q91,Атлет!$H$5:$H$104))=0,0,VLOOKUP(MIN(IF(Атлет!$H$5:$H$104&gt;=Q91,Атлет!$H$5:$H$104)),Атлет!$H$5:$I$104,2)))</f>
        <v>14</v>
      </c>
      <c r="S91" s="96">
        <f t="shared" si="2"/>
        <v>294</v>
      </c>
      <c r="T91" s="97">
        <f t="shared" si="3"/>
        <v>64</v>
      </c>
    </row>
    <row r="92" spans="1:20" ht="19.5" customHeight="1" x14ac:dyDescent="0.3">
      <c r="A92" s="84">
        <v>88</v>
      </c>
      <c r="B92" s="98">
        <v>88</v>
      </c>
      <c r="C92" s="100" t="s">
        <v>79</v>
      </c>
      <c r="D92" s="101"/>
      <c r="E92" s="87">
        <v>-11</v>
      </c>
      <c r="F92" s="88">
        <f>IF(E92="-",0,IFERROR(IFERROR(VLOOKUP(E92,Атлет!$B$5:$I$104,8,FALSE),(IF(E92&lt;1,0,IF(INT(E92)&gt;=25,100,"Введите целое число")))),"Введите целое число или '-'"))</f>
        <v>0</v>
      </c>
      <c r="G92" s="89">
        <v>5.08</v>
      </c>
      <c r="H92" s="90">
        <f t="array" ref="H92">IF(G92=0,0,IF(MIN(IF(Атлет!$C$5:$C$104&gt;=G92,Атлет!$C$5:$C$104))=0,0,VLOOKUP(MIN(IF(Атлет!$C$5:$C$104&gt;=G92,Атлет!$C$5:$C$104)),Атлет!$C$5:$I$104,7)))</f>
        <v>13</v>
      </c>
      <c r="I92" s="91"/>
      <c r="J92" s="92">
        <f>IF(I92="-",0,IFERROR(IFERROR(VLOOKUP(I92,Атлет!$D$5:$I$104,6,FALSE),(IF(I92&lt;1,0,IF(INT(I92)&gt;=40,100,"Введите целое число")))),"Введите целое число или '-'"))</f>
        <v>0</v>
      </c>
      <c r="K92" s="103">
        <v>22</v>
      </c>
      <c r="L92" s="90">
        <f>IF(K92="-",0,IFERROR(IFERROR(VLOOKUP(K92,Атлет!$E$5:$I$104,5,FALSE),(IF(K92&lt;1,0,IF(INT(K92)&gt;=30,100,"Введите целое число")))),"Введите целое число или '-'"))</f>
        <v>84</v>
      </c>
      <c r="M92" s="87">
        <v>88</v>
      </c>
      <c r="N92" s="92">
        <f>IF(M92="-",0,IFERROR(IFERROR(VLOOKUP(M92,Атлет!$F$5:$I$104,4,FALSE),(IF(M92&lt;1,0,IF(INT(M92)&gt;=90,100,"Введите целое число")))),"Введите целое число или '-'"))</f>
        <v>98</v>
      </c>
      <c r="O92" s="93">
        <v>88</v>
      </c>
      <c r="P92" s="90">
        <f>IF(O92="-",0,IFERROR(IFERROR(VLOOKUP(O92,Атлет!$G$5:$I$104,3,FALSE),(IF(O92&lt;1,0,IF(INT(O92)&gt;=100,100,"Введите целое число")))),"Введите целое число или '-'"))</f>
        <v>88</v>
      </c>
      <c r="Q92" s="95">
        <v>49.3</v>
      </c>
      <c r="R92" s="88">
        <f t="array" ref="R92">IF(Q92=0,0,IF(MIN(IF(Атлет!$H$5:$H$104&gt;=Q92,Атлет!$H$5:$H$104))=0,0,VLOOKUP(MIN(IF(Атлет!$H$5:$H$104&gt;=Q92,Атлет!$H$5:$H$104)),Атлет!$H$5:$I$104,2)))</f>
        <v>13</v>
      </c>
      <c r="S92" s="96">
        <f t="shared" si="2"/>
        <v>296</v>
      </c>
      <c r="T92" s="97">
        <f t="shared" si="3"/>
        <v>62</v>
      </c>
    </row>
    <row r="93" spans="1:20" ht="19.5" customHeight="1" x14ac:dyDescent="0.2">
      <c r="A93" s="84">
        <v>89</v>
      </c>
      <c r="B93" s="98">
        <v>89</v>
      </c>
      <c r="C93" s="85" t="s">
        <v>24</v>
      </c>
      <c r="D93" s="86" t="s">
        <v>134</v>
      </c>
      <c r="E93" s="87">
        <v>-12</v>
      </c>
      <c r="F93" s="88">
        <f>IF(E93="-",0,IFERROR(IFERROR(VLOOKUP(E93,Атлет!$B$5:$I$104,8,FALSE),(IF(E93&lt;1,0,IF(INT(E93)&gt;=25,100,"Введите целое число")))),"Введите целое число или '-'"))</f>
        <v>0</v>
      </c>
      <c r="G93" s="89">
        <v>5.12</v>
      </c>
      <c r="H93" s="90">
        <f t="array" ref="H93">IF(G93=0,0,IF(MIN(IF(Атлет!$C$5:$C$104&gt;=G93,Атлет!$C$5:$C$104))=0,0,VLOOKUP(MIN(IF(Атлет!$C$5:$C$104&gt;=G93,Атлет!$C$5:$C$104)),Атлет!$C$5:$I$104,7)))</f>
        <v>12</v>
      </c>
      <c r="I93" s="91"/>
      <c r="J93" s="92">
        <f>IF(I93="-",0,IFERROR(IFERROR(VLOOKUP(I93,Атлет!$D$5:$I$104,6,FALSE),(IF(I93&lt;1,0,IF(INT(I93)&gt;=40,100,"Введите целое число")))),"Введите целое число или '-'"))</f>
        <v>0</v>
      </c>
      <c r="K93" s="103">
        <v>23</v>
      </c>
      <c r="L93" s="90">
        <f>IF(K93="-",0,IFERROR(IFERROR(VLOOKUP(K93,Атлет!$E$5:$I$104,5,FALSE),(IF(K93&lt;1,0,IF(INT(K93)&gt;=30,100,"Введите целое число")))),"Введите целое число или '-'"))</f>
        <v>86</v>
      </c>
      <c r="M93" s="94">
        <v>89</v>
      </c>
      <c r="N93" s="92">
        <f>IF(M93="-",0,IFERROR(IFERROR(VLOOKUP(M93,Атлет!$F$5:$I$104,4,FALSE),(IF(M93&lt;1,0,IF(INT(M93)&gt;=90,100,"Введите целое число")))),"Введите целое число или '-'"))</f>
        <v>99</v>
      </c>
      <c r="O93" s="93">
        <v>89</v>
      </c>
      <c r="P93" s="90">
        <f>IF(O93="-",0,IFERROR(IFERROR(VLOOKUP(O93,Атлет!$G$5:$I$104,3,FALSE),(IF(O93&lt;1,0,IF(INT(O93)&gt;=100,100,"Введите целое число")))),"Введите целое число или '-'"))</f>
        <v>89</v>
      </c>
      <c r="Q93" s="95">
        <v>49.4</v>
      </c>
      <c r="R93" s="88">
        <f t="array" ref="R93">IF(Q93=0,0,IF(MIN(IF(Атлет!$H$5:$H$104&gt;=Q93,Атлет!$H$5:$H$104))=0,0,VLOOKUP(MIN(IF(Атлет!$H$5:$H$104&gt;=Q93,Атлет!$H$5:$H$104)),Атлет!$H$5:$I$104,2)))</f>
        <v>12</v>
      </c>
      <c r="S93" s="96">
        <f t="shared" si="2"/>
        <v>298</v>
      </c>
      <c r="T93" s="97">
        <f t="shared" si="3"/>
        <v>61</v>
      </c>
    </row>
    <row r="94" spans="1:20" ht="19.5" customHeight="1" x14ac:dyDescent="0.2">
      <c r="A94" s="84">
        <v>90</v>
      </c>
      <c r="B94" s="98">
        <v>90</v>
      </c>
      <c r="C94" s="99" t="s">
        <v>99</v>
      </c>
      <c r="D94" s="101"/>
      <c r="E94" s="87">
        <v>-13</v>
      </c>
      <c r="F94" s="88">
        <f>IF(E94="-",0,IFERROR(IFERROR(VLOOKUP(E94,Атлет!$B$5:$I$104,8,FALSE),(IF(E94&lt;1,0,IF(INT(E94)&gt;=25,100,"Введите целое число")))),"Введите целое число или '-'"))</f>
        <v>0</v>
      </c>
      <c r="G94" s="89">
        <v>5.14</v>
      </c>
      <c r="H94" s="90">
        <f t="array" ref="H94">IF(G94=0,0,IF(MIN(IF(Атлет!$C$5:$C$104&gt;=G94,Атлет!$C$5:$C$104))=0,0,VLOOKUP(MIN(IF(Атлет!$C$5:$C$104&gt;=G94,Атлет!$C$5:$C$104)),Атлет!$C$5:$I$104,7)))</f>
        <v>11</v>
      </c>
      <c r="I94" s="91"/>
      <c r="J94" s="92">
        <f>IF(I94="-",0,IFERROR(IFERROR(VLOOKUP(I94,Атлет!$D$5:$I$104,6,FALSE),(IF(I94&lt;1,0,IF(INT(I94)&gt;=40,100,"Введите целое число")))),"Введите целое число или '-'"))</f>
        <v>0</v>
      </c>
      <c r="K94" s="93">
        <v>24</v>
      </c>
      <c r="L94" s="90">
        <f>IF(K94="-",0,IFERROR(IFERROR(VLOOKUP(K94,Атлет!$E$5:$I$104,5,FALSE),(IF(K94&lt;1,0,IF(INT(K94)&gt;=30,100,"Введите целое число")))),"Введите целое число или '-'"))</f>
        <v>88</v>
      </c>
      <c r="M94" s="94">
        <v>90</v>
      </c>
      <c r="N94" s="92">
        <f>IF(M94="-",0,IFERROR(IFERROR(VLOOKUP(M94,Атлет!$F$5:$I$104,4,FALSE),(IF(M94&lt;1,0,IF(INT(M94)&gt;=90,100,"Введите целое число")))),"Введите целое число или '-'"))</f>
        <v>100</v>
      </c>
      <c r="O94" s="93">
        <v>90</v>
      </c>
      <c r="P94" s="90">
        <f>IF(O94="-",0,IFERROR(IFERROR(VLOOKUP(O94,Атлет!$G$5:$I$104,3,FALSE),(IF(O94&lt;1,0,IF(INT(O94)&gt;=100,100,"Введите целое число")))),"Введите целое число или '-'"))</f>
        <v>90</v>
      </c>
      <c r="Q94" s="95">
        <v>49.5</v>
      </c>
      <c r="R94" s="88">
        <f t="array" ref="R94">IF(Q94=0,0,IF(MIN(IF(Атлет!$H$5:$H$104&gt;=Q94,Атлет!$H$5:$H$104))=0,0,VLOOKUP(MIN(IF(Атлет!$H$5:$H$104&gt;=Q94,Атлет!$H$5:$H$104)),Атлет!$H$5:$I$104,2)))</f>
        <v>11</v>
      </c>
      <c r="S94" s="96">
        <f t="shared" si="2"/>
        <v>300</v>
      </c>
      <c r="T94" s="97">
        <f t="shared" si="3"/>
        <v>60</v>
      </c>
    </row>
    <row r="95" spans="1:20" ht="19.5" customHeight="1" x14ac:dyDescent="0.2">
      <c r="A95" s="84">
        <v>91</v>
      </c>
      <c r="B95" s="98">
        <v>91</v>
      </c>
      <c r="C95" s="99" t="s">
        <v>93</v>
      </c>
      <c r="D95" s="101"/>
      <c r="E95" s="87">
        <v>-14</v>
      </c>
      <c r="F95" s="88">
        <f>IF(E95="-",0,IFERROR(IFERROR(VLOOKUP(E95,Атлет!$B$5:$I$104,8,FALSE),(IF(E95&lt;1,0,IF(INT(E95)&gt;=25,100,"Введите целое число")))),"Введите целое число или '-'"))</f>
        <v>0</v>
      </c>
      <c r="G95" s="89">
        <v>5.18</v>
      </c>
      <c r="H95" s="90">
        <f t="array" ref="H95">IF(G95=0,0,IF(MIN(IF(Атлет!$C$5:$C$104&gt;=G95,Атлет!$C$5:$C$104))=0,0,VLOOKUP(MIN(IF(Атлет!$C$5:$C$104&gt;=G95,Атлет!$C$5:$C$104)),Атлет!$C$5:$I$104,7)))</f>
        <v>10</v>
      </c>
      <c r="I95" s="91"/>
      <c r="J95" s="92">
        <f>IF(I95="-",0,IFERROR(IFERROR(VLOOKUP(I95,Атлет!$D$5:$I$104,6,FALSE),(IF(I95&lt;1,0,IF(INT(I95)&gt;=40,100,"Введите целое число")))),"Введите целое число или '-'"))</f>
        <v>0</v>
      </c>
      <c r="K95" s="103">
        <v>25</v>
      </c>
      <c r="L95" s="90">
        <f>IF(K95="-",0,IFERROR(IFERROR(VLOOKUP(K95,Атлет!$E$5:$I$104,5,FALSE),(IF(K95&lt;1,0,IF(INT(K95)&gt;=30,100,"Введите целое число")))),"Введите целое число или '-'"))</f>
        <v>90</v>
      </c>
      <c r="M95" s="87">
        <v>91</v>
      </c>
      <c r="N95" s="92">
        <f>IF(M95="-",0,IFERROR(IFERROR(VLOOKUP(M95,Атлет!$F$5:$I$104,4,FALSE),(IF(M95&lt;1,0,IF(INT(M95)&gt;=90,100,"Введите целое число")))),"Введите целое число или '-'"))</f>
        <v>100</v>
      </c>
      <c r="O95" s="93">
        <v>91</v>
      </c>
      <c r="P95" s="90">
        <f>IF(O95="-",0,IFERROR(IFERROR(VLOOKUP(O95,Атлет!$G$5:$I$104,3,FALSE),(IF(O95&lt;1,0,IF(INT(O95)&gt;=100,100,"Введите целое число")))),"Введите целое число или '-'"))</f>
        <v>91</v>
      </c>
      <c r="Q95" s="95">
        <v>50</v>
      </c>
      <c r="R95" s="88">
        <f t="array" ref="R95">IF(Q95=0,0,IF(MIN(IF(Атлет!$H$5:$H$104&gt;=Q95,Атлет!$H$5:$H$104))=0,0,VLOOKUP(MIN(IF(Атлет!$H$5:$H$104&gt;=Q95,Атлет!$H$5:$H$104)),Атлет!$H$5:$I$104,2)))</f>
        <v>10</v>
      </c>
      <c r="S95" s="96">
        <f t="shared" si="2"/>
        <v>301</v>
      </c>
      <c r="T95" s="97">
        <f t="shared" si="3"/>
        <v>59</v>
      </c>
    </row>
    <row r="96" spans="1:20" ht="19.5" customHeight="1" x14ac:dyDescent="0.2">
      <c r="A96" s="84">
        <v>92</v>
      </c>
      <c r="B96" s="98">
        <v>92</v>
      </c>
      <c r="C96" s="99" t="s">
        <v>83</v>
      </c>
      <c r="D96" s="101"/>
      <c r="E96" s="87">
        <v>-15</v>
      </c>
      <c r="F96" s="88">
        <f>IF(E96="-",0,IFERROR(IFERROR(VLOOKUP(E96,Атлет!$B$5:$I$104,8,FALSE),(IF(E96&lt;1,0,IF(INT(E96)&gt;=25,100,"Введите целое число")))),"Введите целое число или '-'"))</f>
        <v>0</v>
      </c>
      <c r="G96" s="89">
        <v>5.22</v>
      </c>
      <c r="H96" s="90">
        <f t="array" ref="H96">IF(G96=0,0,IF(MIN(IF(Атлет!$C$5:$C$104&gt;=G96,Атлет!$C$5:$C$104))=0,0,VLOOKUP(MIN(IF(Атлет!$C$5:$C$104&gt;=G96,Атлет!$C$5:$C$104)),Атлет!$C$5:$I$104,7)))</f>
        <v>9</v>
      </c>
      <c r="I96" s="91"/>
      <c r="J96" s="92">
        <f>IF(I96="-",0,IFERROR(IFERROR(VLOOKUP(I96,Атлет!$D$5:$I$104,6,FALSE),(IF(I96&lt;1,0,IF(INT(I96)&gt;=40,100,"Введите целое число")))),"Введите целое число или '-'"))</f>
        <v>0</v>
      </c>
      <c r="K96" s="103">
        <v>26</v>
      </c>
      <c r="L96" s="90">
        <f>IF(K96="-",0,IFERROR(IFERROR(VLOOKUP(K96,Атлет!$E$5:$I$104,5,FALSE),(IF(K96&lt;1,0,IF(INT(K96)&gt;=30,100,"Введите целое число")))),"Введите целое число или '-'"))</f>
        <v>92</v>
      </c>
      <c r="M96" s="94">
        <v>92</v>
      </c>
      <c r="N96" s="92">
        <f>IF(M96="-",0,IFERROR(IFERROR(VLOOKUP(M96,Атлет!$F$5:$I$104,4,FALSE),(IF(M96&lt;1,0,IF(INT(M96)&gt;=90,100,"Введите целое число")))),"Введите целое число или '-'"))</f>
        <v>100</v>
      </c>
      <c r="O96" s="93">
        <v>92</v>
      </c>
      <c r="P96" s="90">
        <f>IF(O96="-",0,IFERROR(IFERROR(VLOOKUP(O96,Атлет!$G$5:$I$104,3,FALSE),(IF(O96&lt;1,0,IF(INT(O96)&gt;=100,100,"Введите целое число")))),"Введите целое число или '-'"))</f>
        <v>92</v>
      </c>
      <c r="Q96" s="95">
        <v>52</v>
      </c>
      <c r="R96" s="88">
        <f t="array" ref="R96">IF(Q96=0,0,IF(MIN(IF(Атлет!$H$5:$H$104&gt;=Q96,Атлет!$H$5:$H$104))=0,0,VLOOKUP(MIN(IF(Атлет!$H$5:$H$104&gt;=Q96,Атлет!$H$5:$H$104)),Атлет!$H$5:$I$104,2)))</f>
        <v>0</v>
      </c>
      <c r="S96" s="96">
        <f t="shared" si="2"/>
        <v>293</v>
      </c>
      <c r="T96" s="97">
        <f t="shared" si="3"/>
        <v>66</v>
      </c>
    </row>
    <row r="97" spans="1:20" ht="19.5" customHeight="1" x14ac:dyDescent="0.2">
      <c r="A97" s="84">
        <v>93</v>
      </c>
      <c r="B97" s="98">
        <v>93</v>
      </c>
      <c r="C97" s="107" t="s">
        <v>23</v>
      </c>
      <c r="D97" s="86" t="s">
        <v>134</v>
      </c>
      <c r="E97" s="87">
        <v>-16</v>
      </c>
      <c r="F97" s="88">
        <f>IF(E97="-",0,IFERROR(IFERROR(VLOOKUP(E97,Атлет!$B$5:$I$104,8,FALSE),(IF(E97&lt;1,0,IF(INT(E97)&gt;=25,100,"Введите целое число")))),"Введите целое число или '-'"))</f>
        <v>0</v>
      </c>
      <c r="G97" s="89">
        <v>5.26</v>
      </c>
      <c r="H97" s="90">
        <f t="array" ref="H97">IF(G97=0,0,IF(MIN(IF(Атлет!$C$5:$C$104&gt;=G97,Атлет!$C$5:$C$104))=0,0,VLOOKUP(MIN(IF(Атлет!$C$5:$C$104&gt;=G97,Атлет!$C$5:$C$104)),Атлет!$C$5:$I$104,7)))</f>
        <v>8</v>
      </c>
      <c r="I97" s="91"/>
      <c r="J97" s="92">
        <f>IF(I97="-",0,IFERROR(IFERROR(VLOOKUP(I97,Атлет!$D$5:$I$104,6,FALSE),(IF(I97&lt;1,0,IF(INT(I97)&gt;=40,100,"Введите целое число")))),"Введите целое число или '-'"))</f>
        <v>0</v>
      </c>
      <c r="K97" s="93">
        <v>27</v>
      </c>
      <c r="L97" s="90">
        <f>IF(K97="-",0,IFERROR(IFERROR(VLOOKUP(K97,Атлет!$E$5:$I$104,5,FALSE),(IF(K97&lt;1,0,IF(INT(K97)&gt;=30,100,"Введите целое число")))),"Введите целое число или '-'"))</f>
        <v>94</v>
      </c>
      <c r="M97" s="94">
        <v>93</v>
      </c>
      <c r="N97" s="92">
        <f>IF(M97="-",0,IFERROR(IFERROR(VLOOKUP(M97,Атлет!$F$5:$I$104,4,FALSE),(IF(M97&lt;1,0,IF(INT(M97)&gt;=90,100,"Введите целое число")))),"Введите целое число или '-'"))</f>
        <v>100</v>
      </c>
      <c r="O97" s="93">
        <v>93</v>
      </c>
      <c r="P97" s="90">
        <f>IF(O97="-",0,IFERROR(IFERROR(VLOOKUP(O97,Атлет!$G$5:$I$104,3,FALSE),(IF(O97&lt;1,0,IF(INT(O97)&gt;=100,100,"Введите целое число")))),"Введите целое число или '-'"))</f>
        <v>93</v>
      </c>
      <c r="Q97" s="95">
        <v>50.2</v>
      </c>
      <c r="R97" s="88">
        <f t="array" ref="R97">IF(Q97=0,0,IF(MIN(IF(Атлет!$H$5:$H$104&gt;=Q97,Атлет!$H$5:$H$104))=0,0,VLOOKUP(MIN(IF(Атлет!$H$5:$H$104&gt;=Q97,Атлет!$H$5:$H$104)),Атлет!$H$5:$I$104,2)))</f>
        <v>8</v>
      </c>
      <c r="S97" s="96">
        <f t="shared" si="2"/>
        <v>303</v>
      </c>
      <c r="T97" s="97">
        <f t="shared" si="3"/>
        <v>58</v>
      </c>
    </row>
    <row r="98" spans="1:20" ht="19.5" customHeight="1" x14ac:dyDescent="0.2">
      <c r="A98" s="84">
        <v>94</v>
      </c>
      <c r="B98" s="98">
        <v>94</v>
      </c>
      <c r="C98" s="99" t="s">
        <v>101</v>
      </c>
      <c r="D98" s="101"/>
      <c r="E98" s="87">
        <v>-17</v>
      </c>
      <c r="F98" s="88">
        <f>IF(E98="-",0,IFERROR(IFERROR(VLOOKUP(E98,Атлет!$B$5:$I$104,8,FALSE),(IF(E98&lt;1,0,IF(INT(E98)&gt;=25,100,"Введите целое число")))),"Введите целое число или '-'"))</f>
        <v>0</v>
      </c>
      <c r="G98" s="89">
        <v>5.3</v>
      </c>
      <c r="H98" s="90">
        <f t="array" ref="H98">IF(G98=0,0,IF(MIN(IF(Атлет!$C$5:$C$104&gt;=G98,Атлет!$C$5:$C$104))=0,0,VLOOKUP(MIN(IF(Атлет!$C$5:$C$104&gt;=G98,Атлет!$C$5:$C$104)),Атлет!$C$5:$I$104,7)))</f>
        <v>7</v>
      </c>
      <c r="I98" s="91"/>
      <c r="J98" s="92">
        <f>IF(I98="-",0,IFERROR(IFERROR(VLOOKUP(I98,Атлет!$D$5:$I$104,6,FALSE),(IF(I98&lt;1,0,IF(INT(I98)&gt;=40,100,"Введите целое число")))),"Введите целое число или '-'"))</f>
        <v>0</v>
      </c>
      <c r="K98" s="103">
        <v>28</v>
      </c>
      <c r="L98" s="90">
        <f>IF(K98="-",0,IFERROR(IFERROR(VLOOKUP(K98,Атлет!$E$5:$I$104,5,FALSE),(IF(K98&lt;1,0,IF(INT(K98)&gt;=30,100,"Введите целое число")))),"Введите целое число или '-'"))</f>
        <v>96</v>
      </c>
      <c r="M98" s="87">
        <v>94</v>
      </c>
      <c r="N98" s="92">
        <f>IF(M98="-",0,IFERROR(IFERROR(VLOOKUP(M98,Атлет!$F$5:$I$104,4,FALSE),(IF(M98&lt;1,0,IF(INT(M98)&gt;=90,100,"Введите целое число")))),"Введите целое число или '-'"))</f>
        <v>100</v>
      </c>
      <c r="O98" s="93">
        <v>94</v>
      </c>
      <c r="P98" s="90">
        <f>IF(O98="-",0,IFERROR(IFERROR(VLOOKUP(O98,Атлет!$G$5:$I$104,3,FALSE),(IF(O98&lt;1,0,IF(INT(O98)&gt;=100,100,"Введите целое число")))),"Введите целое число или '-'"))</f>
        <v>94</v>
      </c>
      <c r="Q98" s="95">
        <v>50.3</v>
      </c>
      <c r="R98" s="88">
        <f t="array" ref="R98">IF(Q98=0,0,IF(MIN(IF(Атлет!$H$5:$H$104&gt;=Q98,Атлет!$H$5:$H$104))=0,0,VLOOKUP(MIN(IF(Атлет!$H$5:$H$104&gt;=Q98,Атлет!$H$5:$H$104)),Атлет!$H$5:$I$104,2)))</f>
        <v>7</v>
      </c>
      <c r="S98" s="96">
        <f t="shared" si="2"/>
        <v>304</v>
      </c>
      <c r="T98" s="97">
        <f t="shared" si="3"/>
        <v>56</v>
      </c>
    </row>
    <row r="99" spans="1:20" ht="19.5" customHeight="1" x14ac:dyDescent="0.2">
      <c r="A99" s="84">
        <v>95</v>
      </c>
      <c r="B99" s="98">
        <v>95</v>
      </c>
      <c r="C99" s="99" t="s">
        <v>92</v>
      </c>
      <c r="D99" s="101"/>
      <c r="E99" s="87">
        <v>-18</v>
      </c>
      <c r="F99" s="88">
        <f>IF(E99="-",0,IFERROR(IFERROR(VLOOKUP(E99,Атлет!$B$5:$I$104,8,FALSE),(IF(E99&lt;1,0,IF(INT(E99)&gt;=25,100,"Введите целое число")))),"Введите целое число или '-'"))</f>
        <v>0</v>
      </c>
      <c r="G99" s="89">
        <v>5.34</v>
      </c>
      <c r="H99" s="90">
        <f t="array" ref="H99">IF(G99=0,0,IF(MIN(IF(Атлет!$C$5:$C$104&gt;=G99,Атлет!$C$5:$C$104))=0,0,VLOOKUP(MIN(IF(Атлет!$C$5:$C$104&gt;=G99,Атлет!$C$5:$C$104)),Атлет!$C$5:$I$104,7)))</f>
        <v>6</v>
      </c>
      <c r="I99" s="91"/>
      <c r="J99" s="92">
        <f>IF(I99="-",0,IFERROR(IFERROR(VLOOKUP(I99,Атлет!$D$5:$I$104,6,FALSE),(IF(I99&lt;1,0,IF(INT(I99)&gt;=40,100,"Введите целое число")))),"Введите целое число или '-'"))</f>
        <v>0</v>
      </c>
      <c r="K99" s="103">
        <v>29</v>
      </c>
      <c r="L99" s="90">
        <f>IF(K99="-",0,IFERROR(IFERROR(VLOOKUP(K99,Атлет!$E$5:$I$104,5,FALSE),(IF(K99&lt;1,0,IF(INT(K99)&gt;=30,100,"Введите целое число")))),"Введите целое число или '-'"))</f>
        <v>98</v>
      </c>
      <c r="M99" s="94">
        <v>5</v>
      </c>
      <c r="N99" s="92">
        <f>IF(M99="-",0,IFERROR(IFERROR(VLOOKUP(M99,Атлет!$F$5:$I$104,4,FALSE),(IF(M99&lt;1,0,IF(INT(M99)&gt;=90,100,"Введите целое число")))),"Введите целое число или '-'"))</f>
        <v>5</v>
      </c>
      <c r="O99" s="93">
        <v>95</v>
      </c>
      <c r="P99" s="90">
        <f>IF(O99="-",0,IFERROR(IFERROR(VLOOKUP(O99,Атлет!$G$5:$I$104,3,FALSE),(IF(O99&lt;1,0,IF(INT(O99)&gt;=100,100,"Введите целое число")))),"Введите целое число или '-'"))</f>
        <v>95</v>
      </c>
      <c r="Q99" s="95">
        <v>50.4</v>
      </c>
      <c r="R99" s="88">
        <f t="array" ref="R99">IF(Q99=0,0,IF(MIN(IF(Атлет!$H$5:$H$104&gt;=Q99,Атлет!$H$5:$H$104))=0,0,VLOOKUP(MIN(IF(Атлет!$H$5:$H$104&gt;=Q99,Атлет!$H$5:$H$104)),Атлет!$H$5:$I$104,2)))</f>
        <v>6</v>
      </c>
      <c r="S99" s="96">
        <f t="shared" si="2"/>
        <v>210</v>
      </c>
      <c r="T99" s="97">
        <f t="shared" si="3"/>
        <v>97</v>
      </c>
    </row>
    <row r="100" spans="1:20" ht="19.5" customHeight="1" x14ac:dyDescent="0.2">
      <c r="A100" s="84">
        <v>96</v>
      </c>
      <c r="B100" s="98">
        <v>96</v>
      </c>
      <c r="C100" s="85" t="s">
        <v>44</v>
      </c>
      <c r="D100" s="101"/>
      <c r="E100" s="87">
        <v>-19</v>
      </c>
      <c r="F100" s="88">
        <f>IF(E100="-",0,IFERROR(IFERROR(VLOOKUP(E100,Атлет!$B$5:$I$104,8,FALSE),(IF(E100&lt;1,0,IF(INT(E100)&gt;=25,100,"Введите целое число")))),"Введите целое число или '-'"))</f>
        <v>0</v>
      </c>
      <c r="G100" s="89">
        <v>5.38</v>
      </c>
      <c r="H100" s="90">
        <f t="array" ref="H100">IF(G100=0,0,IF(MIN(IF(Атлет!$C$5:$C$104&gt;=G100,Атлет!$C$5:$C$104))=0,0,VLOOKUP(MIN(IF(Атлет!$C$5:$C$104&gt;=G100,Атлет!$C$5:$C$104)),Атлет!$C$5:$I$104,7)))</f>
        <v>5</v>
      </c>
      <c r="I100" s="91"/>
      <c r="J100" s="92">
        <f>IF(I100="-",0,IFERROR(IFERROR(VLOOKUP(I100,Атлет!$D$5:$I$104,6,FALSE),(IF(I100&lt;1,0,IF(INT(I100)&gt;=40,100,"Введите целое число")))),"Введите целое число или '-'"))</f>
        <v>0</v>
      </c>
      <c r="K100" s="93">
        <v>30</v>
      </c>
      <c r="L100" s="90">
        <f>IF(K100="-",0,IFERROR(IFERROR(VLOOKUP(K100,Атлет!$E$5:$I$104,5,FALSE),(IF(K100&lt;1,0,IF(INT(K100)&gt;=30,100,"Введите целое число")))),"Введите целое число или '-'"))</f>
        <v>100</v>
      </c>
      <c r="M100" s="94">
        <v>4</v>
      </c>
      <c r="N100" s="92">
        <f>IF(M100="-",0,IFERROR(IFERROR(VLOOKUP(M100,Атлет!$F$5:$I$104,4,FALSE),(IF(M100&lt;1,0,IF(INT(M100)&gt;=90,100,"Введите целое число")))),"Введите целое число или '-'"))</f>
        <v>4</v>
      </c>
      <c r="O100" s="93">
        <v>96</v>
      </c>
      <c r="P100" s="90">
        <f>IF(O100="-",0,IFERROR(IFERROR(VLOOKUP(O100,Атлет!$G$5:$I$104,3,FALSE),(IF(O100&lt;1,0,IF(INT(O100)&gt;=100,100,"Введите целое число")))),"Введите целое число или '-'"))</f>
        <v>96</v>
      </c>
      <c r="Q100" s="95">
        <v>50.5</v>
      </c>
      <c r="R100" s="88">
        <f t="array" ref="R100">IF(Q100=0,0,IF(MIN(IF(Атлет!$H$5:$H$104&gt;=Q100,Атлет!$H$5:$H$104))=0,0,VLOOKUP(MIN(IF(Атлет!$H$5:$H$104&gt;=Q100,Атлет!$H$5:$H$104)),Атлет!$H$5:$I$104,2)))</f>
        <v>5</v>
      </c>
      <c r="S100" s="96">
        <f t="shared" si="2"/>
        <v>210</v>
      </c>
      <c r="T100" s="97">
        <f t="shared" si="3"/>
        <v>97</v>
      </c>
    </row>
    <row r="101" spans="1:20" ht="19.5" customHeight="1" x14ac:dyDescent="0.3">
      <c r="A101" s="84">
        <v>97</v>
      </c>
      <c r="B101" s="98">
        <v>97</v>
      </c>
      <c r="C101" s="100" t="s">
        <v>81</v>
      </c>
      <c r="D101" s="101"/>
      <c r="E101" s="87">
        <v>-20</v>
      </c>
      <c r="F101" s="88">
        <f>IF(E101="-",0,IFERROR(IFERROR(VLOOKUP(E101,Атлет!$B$5:$I$104,8,FALSE),(IF(E101&lt;1,0,IF(INT(E101)&gt;=25,100,"Введите целое число")))),"Введите целое число или '-'"))</f>
        <v>0</v>
      </c>
      <c r="G101" s="89">
        <v>5.55</v>
      </c>
      <c r="H101" s="90">
        <f t="array" ref="H101">IF(G101=0,0,IF(MIN(IF(Атлет!$C$5:$C$104&gt;=G101,Атлет!$C$5:$C$104))=0,0,VLOOKUP(MIN(IF(Атлет!$C$5:$C$104&gt;=G101,Атлет!$C$5:$C$104)),Атлет!$C$5:$I$104,7)))</f>
        <v>0</v>
      </c>
      <c r="I101" s="91"/>
      <c r="J101" s="92">
        <f>IF(I101="-",0,IFERROR(IFERROR(VLOOKUP(I101,Атлет!$D$5:$I$104,6,FALSE),(IF(I101&lt;1,0,IF(INT(I101)&gt;=40,100,"Введите целое число")))),"Введите целое число или '-'"))</f>
        <v>0</v>
      </c>
      <c r="K101" s="103">
        <v>31</v>
      </c>
      <c r="L101" s="90">
        <f>IF(K101="-",0,IFERROR(IFERROR(VLOOKUP(K101,Атлет!$E$5:$I$104,5,FALSE),(IF(K101&lt;1,0,IF(INT(K101)&gt;=30,100,"Введите целое число")))),"Введите целое число или '-'"))</f>
        <v>100</v>
      </c>
      <c r="M101" s="94">
        <v>6</v>
      </c>
      <c r="N101" s="92">
        <f>IF(M101="-",0,IFERROR(IFERROR(VLOOKUP(M101,Атлет!$F$5:$I$104,4,FALSE),(IF(M101&lt;1,0,IF(INT(M101)&gt;=90,100,"Введите целое число")))),"Введите целое число или '-'"))</f>
        <v>6</v>
      </c>
      <c r="O101" s="93">
        <v>97</v>
      </c>
      <c r="P101" s="90">
        <f>IF(O101="-",0,IFERROR(IFERROR(VLOOKUP(O101,Атлет!$G$5:$I$104,3,FALSE),(IF(O101&lt;1,0,IF(INT(O101)&gt;=100,100,"Введите целое число")))),"Введите целое число или '-'"))</f>
        <v>97</v>
      </c>
      <c r="Q101" s="95">
        <v>51</v>
      </c>
      <c r="R101" s="88">
        <f t="array" ref="R101">IF(Q101=0,0,IF(MIN(IF(Атлет!$H$5:$H$104&gt;=Q101,Атлет!$H$5:$H$104))=0,0,VLOOKUP(MIN(IF(Атлет!$H$5:$H$104&gt;=Q101,Атлет!$H$5:$H$104)),Атлет!$H$5:$I$104,2)))</f>
        <v>4</v>
      </c>
      <c r="S101" s="96">
        <f t="shared" si="2"/>
        <v>207</v>
      </c>
      <c r="T101" s="97">
        <f t="shared" si="3"/>
        <v>99</v>
      </c>
    </row>
    <row r="102" spans="1:20" ht="19.5" customHeight="1" x14ac:dyDescent="0.2">
      <c r="A102" s="84">
        <v>98</v>
      </c>
      <c r="B102" s="98">
        <v>98</v>
      </c>
      <c r="C102" s="85" t="s">
        <v>27</v>
      </c>
      <c r="D102" s="101"/>
      <c r="E102" s="87">
        <v>-21</v>
      </c>
      <c r="F102" s="88">
        <f>IF(E102="-",0,IFERROR(IFERROR(VLOOKUP(E102,Атлет!$B$5:$I$104,8,FALSE),(IF(E102&lt;1,0,IF(INT(E102)&gt;=25,100,"Введите целое число")))),"Введите целое число или '-'"))</f>
        <v>0</v>
      </c>
      <c r="G102" s="89">
        <v>5.46</v>
      </c>
      <c r="H102" s="90">
        <f t="array" ref="H102">IF(G102=0,0,IF(MIN(IF(Атлет!$C$5:$C$104&gt;=G102,Атлет!$C$5:$C$104))=0,0,VLOOKUP(MIN(IF(Атлет!$C$5:$C$104&gt;=G102,Атлет!$C$5:$C$104)),Атлет!$C$5:$I$104,7)))</f>
        <v>3</v>
      </c>
      <c r="I102" s="91"/>
      <c r="J102" s="92">
        <f>IF(I102="-",0,IFERROR(IFERROR(VLOOKUP(I102,Атлет!$D$5:$I$104,6,FALSE),(IF(I102&lt;1,0,IF(INT(I102)&gt;=40,100,"Введите целое число")))),"Введите целое число или '-'"))</f>
        <v>0</v>
      </c>
      <c r="K102" s="103">
        <v>32</v>
      </c>
      <c r="L102" s="90">
        <f>IF(K102="-",0,IFERROR(IFERROR(VLOOKUP(K102,Атлет!$E$5:$I$104,5,FALSE),(IF(K102&lt;1,0,IF(INT(K102)&gt;=30,100,"Введите целое число")))),"Введите целое число или '-'"))</f>
        <v>100</v>
      </c>
      <c r="M102" s="94">
        <v>7</v>
      </c>
      <c r="N102" s="92">
        <f>IF(M102="-",0,IFERROR(IFERROR(VLOOKUP(M102,Атлет!$F$5:$I$104,4,FALSE),(IF(M102&lt;1,0,IF(INT(M102)&gt;=90,100,"Введите целое число")))),"Введите целое число или '-'"))</f>
        <v>7</v>
      </c>
      <c r="O102" s="93">
        <v>98</v>
      </c>
      <c r="P102" s="90">
        <f>IF(O102="-",0,IFERROR(IFERROR(VLOOKUP(O102,Атлет!$G$5:$I$104,3,FALSE),(IF(O102&lt;1,0,IF(INT(O102)&gt;=100,100,"Введите целое число")))),"Введите целое число или '-'"))</f>
        <v>98</v>
      </c>
      <c r="Q102" s="95">
        <v>51.1</v>
      </c>
      <c r="R102" s="88">
        <f t="array" ref="R102">IF(Q102=0,0,IF(MIN(IF(Атлет!$H$5:$H$104&gt;=Q102,Атлет!$H$5:$H$104))=0,0,VLOOKUP(MIN(IF(Атлет!$H$5:$H$104&gt;=Q102,Атлет!$H$5:$H$104)),Атлет!$H$5:$I$104,2)))</f>
        <v>3</v>
      </c>
      <c r="S102" s="96">
        <f t="shared" si="2"/>
        <v>211</v>
      </c>
      <c r="T102" s="97">
        <f t="shared" si="3"/>
        <v>95</v>
      </c>
    </row>
    <row r="103" spans="1:20" ht="19.5" customHeight="1" x14ac:dyDescent="0.2">
      <c r="A103" s="84">
        <v>99</v>
      </c>
      <c r="B103" s="98">
        <v>99</v>
      </c>
      <c r="C103" s="85" t="s">
        <v>32</v>
      </c>
      <c r="D103" s="101"/>
      <c r="E103" s="87">
        <v>-22</v>
      </c>
      <c r="F103" s="88">
        <f>IF(E103="-",0,IFERROR(IFERROR(VLOOKUP(E103,Атлет!$B$5:$I$104,8,FALSE),(IF(E103&lt;1,0,IF(INT(E103)&gt;=25,100,"Введите целое число")))),"Введите целое число или '-'"))</f>
        <v>0</v>
      </c>
      <c r="G103" s="89">
        <v>5.5</v>
      </c>
      <c r="H103" s="90">
        <f t="array" ref="H103">IF(G103=0,0,IF(MIN(IF(Атлет!$C$5:$C$104&gt;=G103,Атлет!$C$5:$C$104))=0,0,VLOOKUP(MIN(IF(Атлет!$C$5:$C$104&gt;=G103,Атлет!$C$5:$C$104)),Атлет!$C$5:$I$104,7)))</f>
        <v>2</v>
      </c>
      <c r="I103" s="91"/>
      <c r="J103" s="92">
        <f>IF(I103="-",0,IFERROR(IFERROR(VLOOKUP(I103,Атлет!$D$5:$I$104,6,FALSE),(IF(I103&lt;1,0,IF(INT(I103)&gt;=40,100,"Введите целое число")))),"Введите целое число или '-'"))</f>
        <v>0</v>
      </c>
      <c r="K103" s="93">
        <v>33</v>
      </c>
      <c r="L103" s="90">
        <f>IF(K103="-",0,IFERROR(IFERROR(VLOOKUP(K103,Атлет!$E$5:$I$104,5,FALSE),(IF(K103&lt;1,0,IF(INT(K103)&gt;=30,100,"Введите целое число")))),"Введите целое число или '-'"))</f>
        <v>100</v>
      </c>
      <c r="M103" s="94">
        <v>8</v>
      </c>
      <c r="N103" s="92">
        <f>IF(M103="-",0,IFERROR(IFERROR(VLOOKUP(M103,Атлет!$F$5:$I$104,4,FALSE),(IF(M103&lt;1,0,IF(INT(M103)&gt;=90,100,"Введите целое число")))),"Введите целое число или '-'"))</f>
        <v>8</v>
      </c>
      <c r="O103" s="93">
        <v>99</v>
      </c>
      <c r="P103" s="90">
        <f>IF(O103="-",0,IFERROR(IFERROR(VLOOKUP(O103,Атлет!$G$5:$I$104,3,FALSE),(IF(O103&lt;1,0,IF(INT(O103)&gt;=100,100,"Введите целое число")))),"Введите целое число или '-'"))</f>
        <v>99</v>
      </c>
      <c r="Q103" s="95">
        <v>51.2</v>
      </c>
      <c r="R103" s="88">
        <f t="array" ref="R103">IF(Q103=0,0,IF(MIN(IF(Атлет!$H$5:$H$104&gt;=Q103,Атлет!$H$5:$H$104))=0,0,VLOOKUP(MIN(IF(Атлет!$H$5:$H$104&gt;=Q103,Атлет!$H$5:$H$104)),Атлет!$H$5:$I$104,2)))</f>
        <v>2</v>
      </c>
      <c r="S103" s="96">
        <f t="shared" si="2"/>
        <v>211</v>
      </c>
      <c r="T103" s="97">
        <f t="shared" si="3"/>
        <v>95</v>
      </c>
    </row>
    <row r="104" spans="1:20" ht="19.5" customHeight="1" thickBot="1" x14ac:dyDescent="0.25">
      <c r="A104" s="108">
        <v>100</v>
      </c>
      <c r="B104" s="109">
        <v>100</v>
      </c>
      <c r="C104" s="110" t="s">
        <v>97</v>
      </c>
      <c r="D104" s="111"/>
      <c r="E104" s="112"/>
      <c r="F104" s="113">
        <f>IF(E104="-",0,IFERROR(IFERROR(VLOOKUP(E104,Атлет!$B$5:$I$104,8,FALSE),(IF(E104&lt;1,0,IF(INT(E104)&gt;=25,100,"Введите целое число")))),"Введите целое число или '-'"))</f>
        <v>0</v>
      </c>
      <c r="G104" s="114">
        <v>5.54</v>
      </c>
      <c r="H104" s="115">
        <f t="array" ref="H104">IF(G104=0,0,IF(MIN(IF(Атлет!$C$5:$C$104&gt;=G104,Атлет!$C$5:$C$104))=0,0,VLOOKUP(MIN(IF(Атлет!$C$5:$C$104&gt;=G104,Атлет!$C$5:$C$104)),Атлет!$C$5:$I$104,7)))</f>
        <v>1</v>
      </c>
      <c r="I104" s="116"/>
      <c r="J104" s="117">
        <f>IF(I104="-",0,IFERROR(IFERROR(VLOOKUP(I104,Атлет!$D$5:$I$104,6,FALSE),(IF(I104&lt;1,0,IF(INT(I104)&gt;=40,100,"Введите целое число")))),"Введите целое число или '-'"))</f>
        <v>0</v>
      </c>
      <c r="K104" s="118">
        <v>34</v>
      </c>
      <c r="L104" s="115">
        <f>IF(K104="-",0,IFERROR(IFERROR(VLOOKUP(K104,Атлет!$E$5:$I$104,5,FALSE),(IF(K104&lt;1,0,IF(INT(K104)&gt;=30,100,"Введите целое число")))),"Введите целое число или '-'"))</f>
        <v>100</v>
      </c>
      <c r="M104" s="119">
        <v>1</v>
      </c>
      <c r="N104" s="117">
        <f>IF(M104="-",0,IFERROR(IFERROR(VLOOKUP(M104,Атлет!$F$5:$I$104,4,FALSE),(IF(M104&lt;1,0,IF(INT(M104)&gt;=90,100,"Введите целое число")))),"Введите целое число или '-'"))</f>
        <v>1</v>
      </c>
      <c r="O104" s="120">
        <v>100</v>
      </c>
      <c r="P104" s="115">
        <f>IF(O104="-",0,IFERROR(IFERROR(VLOOKUP(O104,Атлет!$G$5:$I$104,3,FALSE),(IF(O104&lt;1,0,IF(INT(O104)&gt;=100,100,"Введите целое число")))),"Введите целое число или '-'"))</f>
        <v>100</v>
      </c>
      <c r="Q104" s="121">
        <v>51.3</v>
      </c>
      <c r="R104" s="113">
        <f t="array" ref="R104">IF(Q104=0,0,IF(MIN(IF(Атлет!$H$5:$H$104&gt;=Q104,Атлет!$H$5:$H$104))=0,0,VLOOKUP(MIN(IF(Атлет!$H$5:$H$104&gt;=Q104,Атлет!$H$5:$H$104)),Атлет!$H$5:$I$104,2)))</f>
        <v>1</v>
      </c>
      <c r="S104" s="122">
        <f t="shared" si="2"/>
        <v>203</v>
      </c>
      <c r="T104" s="123">
        <f t="shared" si="3"/>
        <v>100</v>
      </c>
    </row>
    <row r="107" spans="1:20" ht="20.25" x14ac:dyDescent="0.3">
      <c r="A107" s="63" t="s">
        <v>144</v>
      </c>
      <c r="B107" s="69"/>
      <c r="C107" s="64"/>
      <c r="D107" s="67"/>
      <c r="H107" s="65" t="s">
        <v>145</v>
      </c>
    </row>
  </sheetData>
  <sheetProtection algorithmName="SHA-512" hashValue="SK25YeIVA1pQCNBSY7ajLXBchYTX61QDlKcIe+zO5EjE89zKDBal3llRicabm04JtIj9Dl829peuBmEHDzvHpg==" saltValue="oB+zqEcxCGpR0WaRLz2Omg==" spinCount="100000" sheet="1" formatCells="0" formatColumns="0" formatRows="0" sort="0" autoFilter="0"/>
  <protectedRanges>
    <protectedRange password="CE28" sqref="B5:B104" name="Диапазон1_1"/>
  </protectedRanges>
  <dataConsolidate function="average">
    <dataRefs count="2">
      <dataRef name="2024-1"/>
      <dataRef ref="D7:K206" sheet="Ведомость 2 курс" r:id="rId1"/>
    </dataRefs>
  </dataConsolidate>
  <mergeCells count="21">
    <mergeCell ref="A1:T1"/>
    <mergeCell ref="A2:A4"/>
    <mergeCell ref="B2:B4"/>
    <mergeCell ref="C2:C4"/>
    <mergeCell ref="D2:D4"/>
    <mergeCell ref="E2:F2"/>
    <mergeCell ref="G2:H2"/>
    <mergeCell ref="I2:J2"/>
    <mergeCell ref="K2:L2"/>
    <mergeCell ref="M2:N2"/>
    <mergeCell ref="E3:F3"/>
    <mergeCell ref="G3:H3"/>
    <mergeCell ref="I3:J3"/>
    <mergeCell ref="K3:L3"/>
    <mergeCell ref="M3:N3"/>
    <mergeCell ref="Q3:R3"/>
    <mergeCell ref="O2:P2"/>
    <mergeCell ref="Q2:R2"/>
    <mergeCell ref="S2:S4"/>
    <mergeCell ref="T2:T4"/>
    <mergeCell ref="O3:P3"/>
  </mergeCells>
  <conditionalFormatting sqref="K4">
    <cfRule type="cellIs" dxfId="5" priority="6" operator="equal">
      <formula>"-"</formula>
    </cfRule>
  </conditionalFormatting>
  <conditionalFormatting sqref="O2:O3">
    <cfRule type="cellIs" dxfId="4" priority="5" operator="equal">
      <formula>"-"</formula>
    </cfRule>
  </conditionalFormatting>
  <conditionalFormatting sqref="Q2:Q3">
    <cfRule type="cellIs" dxfId="3" priority="4" operator="equal">
      <formula>"-"</formula>
    </cfRule>
  </conditionalFormatting>
  <conditionalFormatting sqref="M2:M3">
    <cfRule type="cellIs" dxfId="2" priority="3" operator="equal">
      <formula>"-"</formula>
    </cfRule>
  </conditionalFormatting>
  <conditionalFormatting sqref="O4">
    <cfRule type="cellIs" dxfId="1" priority="1" operator="equal">
      <formula>"-"</formula>
    </cfRule>
  </conditionalFormatting>
  <conditionalFormatting sqref="M4">
    <cfRule type="cellIs" dxfId="0" priority="2" operator="equal">
      <formula>"-"</formula>
    </cfRule>
  </conditionalFormatting>
  <pageMargins left="0" right="0" top="0" bottom="0" header="0.39370078740157483" footer="0.39370078740157483"/>
  <pageSetup paperSize="9" scale="50" fitToHeight="12" orientation="landscape" r:id="rId2"/>
  <headerFooter alignWithMargins="0"/>
  <rowBreaks count="2" manualBreakCount="2">
    <brk id="46" max="19" man="1"/>
    <brk id="90" max="19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B1:J28"/>
  <sheetViews>
    <sheetView workbookViewId="0">
      <selection activeCell="J12" sqref="J12"/>
    </sheetView>
  </sheetViews>
  <sheetFormatPr defaultRowHeight="12.75" x14ac:dyDescent="0.2"/>
  <cols>
    <col min="3" max="3" width="35.85546875" style="34" customWidth="1"/>
    <col min="4" max="4" width="22.5703125" style="5" customWidth="1"/>
    <col min="5" max="5" width="22.85546875" customWidth="1"/>
    <col min="6" max="6" width="15" customWidth="1"/>
  </cols>
  <sheetData>
    <row r="1" spans="2:10" ht="36" customHeight="1" x14ac:dyDescent="0.3">
      <c r="B1" s="290" t="s">
        <v>140</v>
      </c>
      <c r="C1" s="290"/>
      <c r="D1" s="290"/>
      <c r="E1" s="290"/>
      <c r="F1" s="290"/>
    </row>
    <row r="2" spans="2:10" ht="15" customHeight="1" x14ac:dyDescent="0.3">
      <c r="B2" s="37"/>
      <c r="C2" s="37"/>
      <c r="D2" s="37"/>
      <c r="E2" s="37"/>
      <c r="F2" s="37"/>
    </row>
    <row r="3" spans="2:10" ht="24.75" customHeight="1" thickBot="1" x14ac:dyDescent="0.25">
      <c r="F3" s="38" t="s">
        <v>141</v>
      </c>
    </row>
    <row r="4" spans="2:10" ht="36.75" customHeight="1" thickBot="1" x14ac:dyDescent="0.25">
      <c r="B4" s="39" t="s">
        <v>4</v>
      </c>
      <c r="C4" s="40" t="s">
        <v>143</v>
      </c>
      <c r="D4" s="41" t="s">
        <v>139</v>
      </c>
      <c r="E4" s="41" t="s">
        <v>135</v>
      </c>
      <c r="F4" s="42" t="s">
        <v>142</v>
      </c>
      <c r="G4" s="4"/>
    </row>
    <row r="5" spans="2:10" ht="15.75" customHeight="1" x14ac:dyDescent="0.2">
      <c r="B5" s="43">
        <v>1</v>
      </c>
      <c r="C5" s="44" t="str">
        <f>IF('Команды участники'!B2="","",'Команды участники'!B2)</f>
        <v>Бресткое УМЧС</v>
      </c>
      <c r="D5" s="45">
        <f>COUNTIF('Испытания Атлет'!$E$5:$E$104,C5)</f>
        <v>5</v>
      </c>
      <c r="E5" s="46">
        <f>SUMIFS('Испытания Атлет'!$T$5:$T$104,'Испытания Атлет'!$E$5:$E$104,C5)</f>
        <v>0</v>
      </c>
      <c r="F5" s="47">
        <f t="shared" ref="F5:F24" si="0">RANK(E5,$E$5:$E$24,0)</f>
        <v>2</v>
      </c>
      <c r="H5" s="8"/>
      <c r="J5" s="8" t="str">
        <f>IF(D5&gt;5,"Количество участников не должно быть больше 5","OK")</f>
        <v>OK</v>
      </c>
    </row>
    <row r="6" spans="2:10" ht="15.75" customHeight="1" x14ac:dyDescent="0.2">
      <c r="B6" s="48">
        <v>2</v>
      </c>
      <c r="C6" s="49" t="str">
        <f>IF('Команды участники'!B3="","",'Команды участники'!B3)</f>
        <v>Могилевское УМЧС</v>
      </c>
      <c r="D6" s="50">
        <f>COUNTIF('Испытания Атлет'!$E$5:$E$104,C6)</f>
        <v>6</v>
      </c>
      <c r="E6" s="51">
        <f>SUMIFS('Испытания Атлет'!$T$5:$T$104,'Испытания Атлет'!$E$5:$E$104,C6)</f>
        <v>0</v>
      </c>
      <c r="F6" s="52">
        <f t="shared" si="0"/>
        <v>2</v>
      </c>
      <c r="J6" s="8" t="str">
        <f t="shared" ref="J6:J24" si="1">IF(D6&gt;5,"Количество участников не должно быть больше 5","OK")</f>
        <v>Количество участников не должно быть больше 5</v>
      </c>
    </row>
    <row r="7" spans="2:10" ht="15.75" customHeight="1" x14ac:dyDescent="0.2">
      <c r="B7" s="48">
        <v>3</v>
      </c>
      <c r="C7" s="49" t="str">
        <f>IF('Команды участники'!B4="","",'Команды участники'!B4)</f>
        <v>УГЗ МЧС</v>
      </c>
      <c r="D7" s="50">
        <f>COUNTIF('Испытания Атлет'!$E$5:$E$104,C7)</f>
        <v>5</v>
      </c>
      <c r="E7" s="51">
        <f>SUMIFS('Испытания Атлет'!$T$5:$T$104,'Испытания Атлет'!$E$5:$E$104,C7)</f>
        <v>0</v>
      </c>
      <c r="F7" s="52">
        <f t="shared" si="0"/>
        <v>2</v>
      </c>
      <c r="J7" s="8" t="str">
        <f t="shared" si="1"/>
        <v>OK</v>
      </c>
    </row>
    <row r="8" spans="2:10" ht="15.75" customHeight="1" x14ac:dyDescent="0.2">
      <c r="B8" s="48">
        <v>4</v>
      </c>
      <c r="C8" s="49" t="str">
        <f>IF('Команды участники'!B5="","",'Команды участники'!B5)</f>
        <v>РОСН "ЗУБР"</v>
      </c>
      <c r="D8" s="50">
        <f>COUNTIF('Испытания Атлет'!$E$5:$E$104,C8)</f>
        <v>5</v>
      </c>
      <c r="E8" s="51">
        <f>SUMIFS('Испытания Атлет'!$T$5:$T$104,'Испытания Атлет'!$E$5:$E$104,C8)</f>
        <v>0</v>
      </c>
      <c r="F8" s="52">
        <f t="shared" si="0"/>
        <v>2</v>
      </c>
      <c r="J8" s="8" t="str">
        <f t="shared" si="1"/>
        <v>OK</v>
      </c>
    </row>
    <row r="9" spans="2:10" ht="15.75" customHeight="1" x14ac:dyDescent="0.2">
      <c r="B9" s="48">
        <v>5</v>
      </c>
      <c r="C9" s="49" t="str">
        <f>IF('Команды участники'!B6="","",'Команды участники'!B6)</f>
        <v>РЦУ РЧС</v>
      </c>
      <c r="D9" s="50">
        <f>COUNTIF('Испытания Атлет'!$E$5:$E$104,C9)</f>
        <v>3</v>
      </c>
      <c r="E9" s="51">
        <f>SUMIFS('Испытания Атлет'!$T$5:$T$104,'Испытания Атлет'!$E$5:$E$104,C9)</f>
        <v>0</v>
      </c>
      <c r="F9" s="52">
        <f t="shared" si="0"/>
        <v>2</v>
      </c>
      <c r="J9" s="8" t="str">
        <f t="shared" si="1"/>
        <v>OK</v>
      </c>
    </row>
    <row r="10" spans="2:10" ht="15.75" customHeight="1" x14ac:dyDescent="0.2">
      <c r="B10" s="48">
        <v>6</v>
      </c>
      <c r="C10" s="49" t="str">
        <f>IF('Команды участники'!B7="","",'Команды участники'!B7)</f>
        <v>БГАА</v>
      </c>
      <c r="D10" s="50">
        <f>COUNTIF('Испытания Атлет'!$E$5:$E$104,C10)</f>
        <v>0</v>
      </c>
      <c r="E10" s="51">
        <f>SUMIFS('Испытания Атлет'!$T$5:$T$104,'Испытания Атлет'!$E$5:$E$104,C10)</f>
        <v>0</v>
      </c>
      <c r="F10" s="52">
        <f t="shared" si="0"/>
        <v>2</v>
      </c>
      <c r="J10" s="8" t="str">
        <f t="shared" si="1"/>
        <v>OK</v>
      </c>
    </row>
    <row r="11" spans="2:10" ht="15.75" customHeight="1" x14ac:dyDescent="0.2">
      <c r="B11" s="48">
        <v>7</v>
      </c>
      <c r="C11" s="49" t="str">
        <f>IF('Команды участники'!B8="","",'Команды участники'!B8)</f>
        <v>ВА РБ</v>
      </c>
      <c r="D11" s="50">
        <f>COUNTIF('Испытания Атлет'!$E$5:$E$104,C11)</f>
        <v>5</v>
      </c>
      <c r="E11" s="51">
        <f>SUMIFS('Испытания Атлет'!$T$5:$T$104,'Испытания Атлет'!$E$5:$E$104,C11)</f>
        <v>0</v>
      </c>
      <c r="F11" s="52">
        <f t="shared" si="0"/>
        <v>2</v>
      </c>
      <c r="J11" s="8" t="str">
        <f t="shared" si="1"/>
        <v>OK</v>
      </c>
    </row>
    <row r="12" spans="2:10" ht="15.75" customHeight="1" x14ac:dyDescent="0.2">
      <c r="B12" s="48">
        <v>8</v>
      </c>
      <c r="C12" s="49" t="str">
        <f>IF('Команды участники'!B9="","",'Команды участники'!B9)</f>
        <v>ВТФ БНТУ</v>
      </c>
      <c r="D12" s="50">
        <f>COUNTIF('Испытания Атлет'!$E$5:$E$104,C12)</f>
        <v>5</v>
      </c>
      <c r="E12" s="51">
        <f>SUMIFS('Испытания Атлет'!$T$5:$T$104,'Испытания Атлет'!$E$5:$E$104,C12)</f>
        <v>0</v>
      </c>
      <c r="F12" s="52">
        <f t="shared" si="0"/>
        <v>2</v>
      </c>
      <c r="J12" s="8" t="str">
        <f t="shared" si="1"/>
        <v>OK</v>
      </c>
    </row>
    <row r="13" spans="2:10" ht="15.75" customHeight="1" x14ac:dyDescent="0.2">
      <c r="B13" s="48">
        <v>9</v>
      </c>
      <c r="C13" s="49" t="str">
        <f>IF('Команды участники'!B10="","",'Команды участники'!B10)</f>
        <v>ИПС РБ</v>
      </c>
      <c r="D13" s="50">
        <f>COUNTIF('Испытания Атлет'!$E$5:$E$104,C13)</f>
        <v>5</v>
      </c>
      <c r="E13" s="51">
        <f>SUMIFS('Испытания Атлет'!$T$5:$T$104,'Испытания Атлет'!$E$5:$E$104,C13)</f>
        <v>408</v>
      </c>
      <c r="F13" s="52">
        <f t="shared" si="0"/>
        <v>1</v>
      </c>
      <c r="J13" s="8" t="str">
        <f t="shared" si="1"/>
        <v>OK</v>
      </c>
    </row>
    <row r="14" spans="2:10" ht="15.75" customHeight="1" x14ac:dyDescent="0.2">
      <c r="B14" s="48">
        <v>10</v>
      </c>
      <c r="C14" s="49" t="str">
        <f>IF('Команды участники'!B11="","",'Команды участники'!B11)</f>
        <v>Академия МВД</v>
      </c>
      <c r="D14" s="50">
        <f>COUNTIF('Испытания Атлет'!$E$5:$E$104,C14)</f>
        <v>5</v>
      </c>
      <c r="E14" s="51">
        <f>SUMIFS('Испытания Атлет'!$T$5:$T$104,'Испытания Атлет'!$E$5:$E$104,C14)</f>
        <v>0</v>
      </c>
      <c r="F14" s="52">
        <f t="shared" si="0"/>
        <v>2</v>
      </c>
      <c r="J14" s="8" t="str">
        <f t="shared" si="1"/>
        <v>OK</v>
      </c>
    </row>
    <row r="15" spans="2:10" ht="15.75" customHeight="1" x14ac:dyDescent="0.2">
      <c r="B15" s="48">
        <v>11</v>
      </c>
      <c r="C15" s="49" t="str">
        <f>IF('Команды участники'!B12="","",'Команды участники'!B12)</f>
        <v>ВФ БГУ</v>
      </c>
      <c r="D15" s="50">
        <f>COUNTIF('Испытания Атлет'!$E$5:$E$104,C15)</f>
        <v>0</v>
      </c>
      <c r="E15" s="51">
        <f>SUMIFS('Испытания Атлет'!$T$5:$T$104,'Испытания Атлет'!$E$5:$E$104,C15)</f>
        <v>0</v>
      </c>
      <c r="F15" s="52">
        <f t="shared" si="0"/>
        <v>2</v>
      </c>
      <c r="J15" s="8" t="str">
        <f t="shared" si="1"/>
        <v>OK</v>
      </c>
    </row>
    <row r="16" spans="2:10" ht="37.5" x14ac:dyDescent="0.2">
      <c r="B16" s="48">
        <v>12</v>
      </c>
      <c r="C16" s="49" t="str">
        <f>IF('Команды участники'!B13="","",'Команды участники'!B13)</f>
        <v>УВД Могилевского облисполкома</v>
      </c>
      <c r="D16" s="50">
        <f>COUNTIF('Испытания Атлет'!$E$5:$E$104,C16)</f>
        <v>0</v>
      </c>
      <c r="E16" s="51">
        <f>SUMIFS('Испытания Атлет'!$T$5:$T$104,'Испытания Атлет'!$E$5:$E$104,C16)</f>
        <v>0</v>
      </c>
      <c r="F16" s="52">
        <f t="shared" si="0"/>
        <v>2</v>
      </c>
      <c r="J16" s="8" t="str">
        <f t="shared" si="1"/>
        <v>OK</v>
      </c>
    </row>
    <row r="17" spans="2:10" ht="15.75" customHeight="1" x14ac:dyDescent="0.2">
      <c r="B17" s="48">
        <v>13</v>
      </c>
      <c r="C17" s="49" t="str">
        <f>IF('Команды участники'!B14="","-",'Команды участники'!B14)</f>
        <v>-</v>
      </c>
      <c r="D17" s="50">
        <f>COUNTIF('Испытания Атлет'!$E$5:$E$104,C17)</f>
        <v>0</v>
      </c>
      <c r="E17" s="51">
        <f>SUMIFS('Испытания Атлет'!$T$5:$T$104,'Испытания Атлет'!$E$5:$E$104,C17)</f>
        <v>0</v>
      </c>
      <c r="F17" s="52">
        <f t="shared" si="0"/>
        <v>2</v>
      </c>
      <c r="J17" s="8" t="str">
        <f t="shared" si="1"/>
        <v>OK</v>
      </c>
    </row>
    <row r="18" spans="2:10" ht="15.75" customHeight="1" x14ac:dyDescent="0.2">
      <c r="B18" s="48">
        <v>14</v>
      </c>
      <c r="C18" s="49" t="str">
        <f>IF('Команды участники'!B15="","-",'Команды участники'!B15)</f>
        <v>-</v>
      </c>
      <c r="D18" s="50">
        <f>COUNTIF('Испытания Атлет'!$E$5:$E$104,C18)</f>
        <v>0</v>
      </c>
      <c r="E18" s="51">
        <f>SUMIFS('Испытания Атлет'!$T$5:$T$104,'Испытания Атлет'!$E$5:$E$104,C18)</f>
        <v>0</v>
      </c>
      <c r="F18" s="52">
        <f t="shared" si="0"/>
        <v>2</v>
      </c>
      <c r="J18" s="8" t="str">
        <f t="shared" si="1"/>
        <v>OK</v>
      </c>
    </row>
    <row r="19" spans="2:10" ht="15.75" customHeight="1" x14ac:dyDescent="0.2">
      <c r="B19" s="48">
        <v>15</v>
      </c>
      <c r="C19" s="49" t="str">
        <f>IF('Команды участники'!B16="","-",'Команды участники'!B16)</f>
        <v>-</v>
      </c>
      <c r="D19" s="50">
        <f>COUNTIF('Испытания Атлет'!$E$5:$E$104,C19)</f>
        <v>0</v>
      </c>
      <c r="E19" s="51">
        <f>SUMIFS('Испытания Атлет'!$T$5:$T$104,'Испытания Атлет'!$E$5:$E$104,C19)</f>
        <v>0</v>
      </c>
      <c r="F19" s="52">
        <f t="shared" si="0"/>
        <v>2</v>
      </c>
      <c r="J19" s="8" t="str">
        <f t="shared" si="1"/>
        <v>OK</v>
      </c>
    </row>
    <row r="20" spans="2:10" ht="15.75" customHeight="1" x14ac:dyDescent="0.2">
      <c r="B20" s="48">
        <v>16</v>
      </c>
      <c r="C20" s="49" t="str">
        <f>IF('Команды участники'!B17="","-",'Команды участники'!B17)</f>
        <v>-</v>
      </c>
      <c r="D20" s="50">
        <f>COUNTIF('Испытания Атлет'!$E$5:$E$104,C20)</f>
        <v>0</v>
      </c>
      <c r="E20" s="51">
        <f>SUMIFS('Испытания Атлет'!$T$5:$T$104,'Испытания Атлет'!$E$5:$E$104,C20)</f>
        <v>0</v>
      </c>
      <c r="F20" s="52">
        <f t="shared" si="0"/>
        <v>2</v>
      </c>
      <c r="J20" s="8" t="str">
        <f t="shared" si="1"/>
        <v>OK</v>
      </c>
    </row>
    <row r="21" spans="2:10" ht="15.75" customHeight="1" x14ac:dyDescent="0.2">
      <c r="B21" s="48">
        <v>17</v>
      </c>
      <c r="C21" s="49" t="str">
        <f>IF('Команды участники'!B18="","-",'Команды участники'!B18)</f>
        <v>-</v>
      </c>
      <c r="D21" s="50">
        <f>COUNTIF('Испытания Атлет'!$E$5:$E$104,C21)</f>
        <v>0</v>
      </c>
      <c r="E21" s="51">
        <f>SUMIFS('Испытания Атлет'!$T$5:$T$104,'Испытания Атлет'!$E$5:$E$104,C21)</f>
        <v>0</v>
      </c>
      <c r="F21" s="52">
        <f t="shared" si="0"/>
        <v>2</v>
      </c>
      <c r="J21" s="8" t="str">
        <f t="shared" si="1"/>
        <v>OK</v>
      </c>
    </row>
    <row r="22" spans="2:10" ht="15.75" customHeight="1" x14ac:dyDescent="0.2">
      <c r="B22" s="48">
        <v>18</v>
      </c>
      <c r="C22" s="49" t="str">
        <f>IF('Команды участники'!B19="","-",'Команды участники'!B19)</f>
        <v>-</v>
      </c>
      <c r="D22" s="50">
        <f>COUNTIF('Испытания Атлет'!$E$5:$E$104,C22)</f>
        <v>0</v>
      </c>
      <c r="E22" s="51">
        <f>SUMIFS('Испытания Атлет'!$T$5:$T$104,'Испытания Атлет'!$E$5:$E$104,C22)</f>
        <v>0</v>
      </c>
      <c r="F22" s="52">
        <f t="shared" si="0"/>
        <v>2</v>
      </c>
      <c r="J22" s="8" t="str">
        <f t="shared" si="1"/>
        <v>OK</v>
      </c>
    </row>
    <row r="23" spans="2:10" ht="15.75" customHeight="1" x14ac:dyDescent="0.2">
      <c r="B23" s="48">
        <v>19</v>
      </c>
      <c r="C23" s="49" t="str">
        <f>IF('Команды участники'!B20="","-",'Команды участники'!B20)</f>
        <v>-</v>
      </c>
      <c r="D23" s="50">
        <f>COUNTIF('Испытания Атлет'!$E$5:$E$104,C23)</f>
        <v>0</v>
      </c>
      <c r="E23" s="51">
        <f>SUMIFS('Испытания Атлет'!$T$5:$T$104,'Испытания Атлет'!$E$5:$E$104,C23)</f>
        <v>0</v>
      </c>
      <c r="F23" s="52">
        <f t="shared" si="0"/>
        <v>2</v>
      </c>
      <c r="J23" s="8" t="str">
        <f t="shared" si="1"/>
        <v>OK</v>
      </c>
    </row>
    <row r="24" spans="2:10" ht="15.75" customHeight="1" thickBot="1" x14ac:dyDescent="0.25">
      <c r="B24" s="53">
        <v>20</v>
      </c>
      <c r="C24" s="54" t="str">
        <f>IF('Команды участники'!B21="","-",'Команды участники'!B21)</f>
        <v>-</v>
      </c>
      <c r="D24" s="55">
        <f>COUNTIF('Испытания Атлет'!$E$5:$E$104,C24)</f>
        <v>0</v>
      </c>
      <c r="E24" s="56">
        <f>SUMIFS('Испытания Атлет'!$T$5:$T$104,'Испытания Атлет'!$E$5:$E$104,C24)</f>
        <v>0</v>
      </c>
      <c r="F24" s="57">
        <f t="shared" si="0"/>
        <v>2</v>
      </c>
      <c r="J24" s="8" t="str">
        <f t="shared" si="1"/>
        <v>OK</v>
      </c>
    </row>
    <row r="25" spans="2:10" x14ac:dyDescent="0.2">
      <c r="C25" s="35"/>
      <c r="D25" s="7"/>
      <c r="E25" s="6"/>
    </row>
    <row r="27" spans="2:10" ht="20.25" x14ac:dyDescent="0.3">
      <c r="B27" s="58" t="s">
        <v>144</v>
      </c>
      <c r="C27" s="59"/>
      <c r="D27" s="60"/>
      <c r="E27" s="58"/>
      <c r="F27" s="61" t="s">
        <v>145</v>
      </c>
    </row>
    <row r="28" spans="2:10" ht="20.25" x14ac:dyDescent="0.3">
      <c r="B28" s="58"/>
      <c r="C28" s="59"/>
      <c r="D28" s="60"/>
      <c r="E28" s="58"/>
      <c r="F28" s="58"/>
    </row>
  </sheetData>
  <mergeCells count="1">
    <mergeCell ref="B1:F1"/>
  </mergeCells>
  <pageMargins left="0.7" right="0.7" top="0.75" bottom="0.75" header="0.3" footer="0.3"/>
  <pageSetup paperSize="9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B1:J28"/>
  <sheetViews>
    <sheetView workbookViewId="0">
      <selection activeCell="F5" sqref="F5"/>
    </sheetView>
  </sheetViews>
  <sheetFormatPr defaultRowHeight="12.75" x14ac:dyDescent="0.2"/>
  <cols>
    <col min="3" max="3" width="35.85546875" style="34" customWidth="1"/>
    <col min="4" max="4" width="22.5703125" style="5" customWidth="1"/>
    <col min="5" max="5" width="22.85546875" customWidth="1"/>
    <col min="6" max="6" width="15" customWidth="1"/>
  </cols>
  <sheetData>
    <row r="1" spans="2:10" ht="36" customHeight="1" x14ac:dyDescent="0.3">
      <c r="B1" s="290" t="s">
        <v>140</v>
      </c>
      <c r="C1" s="290"/>
      <c r="D1" s="290"/>
      <c r="E1" s="290"/>
      <c r="F1" s="290"/>
    </row>
    <row r="2" spans="2:10" ht="15" customHeight="1" x14ac:dyDescent="0.3">
      <c r="B2" s="37"/>
      <c r="C2" s="37"/>
      <c r="D2" s="37"/>
      <c r="E2" s="37"/>
      <c r="F2" s="37"/>
    </row>
    <row r="3" spans="2:10" ht="24.75" customHeight="1" thickBot="1" x14ac:dyDescent="0.25">
      <c r="F3" s="38" t="s">
        <v>141</v>
      </c>
    </row>
    <row r="4" spans="2:10" ht="36.75" customHeight="1" thickBot="1" x14ac:dyDescent="0.25">
      <c r="B4" s="39" t="s">
        <v>4</v>
      </c>
      <c r="C4" s="40" t="s">
        <v>143</v>
      </c>
      <c r="D4" s="41" t="s">
        <v>139</v>
      </c>
      <c r="E4" s="41" t="s">
        <v>135</v>
      </c>
      <c r="F4" s="42" t="s">
        <v>142</v>
      </c>
      <c r="G4" s="4"/>
    </row>
    <row r="5" spans="2:10" ht="15.75" customHeight="1" x14ac:dyDescent="0.2">
      <c r="B5" s="43">
        <v>1</v>
      </c>
      <c r="C5" s="44" t="str">
        <f>IF('Команды участники'!B2="","",'Команды участники'!B2)</f>
        <v>Бресткое УМЧС</v>
      </c>
      <c r="D5" s="45">
        <f>COUNTIF('Испытания Атлет'!$E$5:$E$104,C5)</f>
        <v>5</v>
      </c>
      <c r="E5" s="46">
        <f>SUMIFS('Испытания Атлет'!$T$5:$T$104,'Испытания Атлет'!$E$5:$E$104,C5)</f>
        <v>0</v>
      </c>
      <c r="F5" s="47">
        <f>RANK(E5,$E$5:$E$24,0)</f>
        <v>2</v>
      </c>
      <c r="H5" s="8"/>
      <c r="J5" s="8" t="str">
        <f>IF(D5&gt;5,"Количество участников не должно быть больше 5","OK")</f>
        <v>OK</v>
      </c>
    </row>
    <row r="6" spans="2:10" ht="15.75" customHeight="1" x14ac:dyDescent="0.2">
      <c r="B6" s="48">
        <v>2</v>
      </c>
      <c r="C6" s="49" t="str">
        <f>IF('Команды участники'!B3="","",'Команды участники'!B3)</f>
        <v>Могилевское УМЧС</v>
      </c>
      <c r="D6" s="50">
        <f>COUNTIF('Испытания Атлет'!$E$5:$E$104,C6)</f>
        <v>6</v>
      </c>
      <c r="E6" s="51">
        <f>SUMIFS('Испытания Атлет'!$T$5:$T$104,'Испытания Атлет'!$E$5:$E$104,C6)</f>
        <v>0</v>
      </c>
      <c r="F6" s="52">
        <f t="shared" ref="F6:F24" si="0">RANK(E6,$E$5:$E$24,0)</f>
        <v>2</v>
      </c>
      <c r="J6" s="8" t="str">
        <f t="shared" ref="J6:J24" si="1">IF(D6&gt;5,"Количество участников не должно быть больше 5","OK")</f>
        <v>Количество участников не должно быть больше 5</v>
      </c>
    </row>
    <row r="7" spans="2:10" ht="15.75" customHeight="1" x14ac:dyDescent="0.2">
      <c r="B7" s="48">
        <v>3</v>
      </c>
      <c r="C7" s="49" t="str">
        <f>IF('Команды участники'!B4="","",'Команды участники'!B4)</f>
        <v>УГЗ МЧС</v>
      </c>
      <c r="D7" s="50">
        <f>COUNTIF('Испытания Атлет'!$E$5:$E$104,C7)</f>
        <v>5</v>
      </c>
      <c r="E7" s="51">
        <f>SUMIFS('Испытания Атлет'!$T$5:$T$104,'Испытания Атлет'!$E$5:$E$104,C7)</f>
        <v>0</v>
      </c>
      <c r="F7" s="52">
        <f t="shared" si="0"/>
        <v>2</v>
      </c>
      <c r="J7" s="8" t="str">
        <f t="shared" si="1"/>
        <v>OK</v>
      </c>
    </row>
    <row r="8" spans="2:10" ht="15.75" customHeight="1" x14ac:dyDescent="0.2">
      <c r="B8" s="48">
        <v>4</v>
      </c>
      <c r="C8" s="49" t="str">
        <f>IF('Команды участники'!B5="","",'Команды участники'!B5)</f>
        <v>РОСН "ЗУБР"</v>
      </c>
      <c r="D8" s="50">
        <f>COUNTIF('Испытания Атлет'!$E$5:$E$104,C8)</f>
        <v>5</v>
      </c>
      <c r="E8" s="51">
        <f>SUMIFS('Испытания Атлет'!$T$5:$T$104,'Испытания Атлет'!$E$5:$E$104,C8)</f>
        <v>0</v>
      </c>
      <c r="F8" s="52">
        <f t="shared" si="0"/>
        <v>2</v>
      </c>
      <c r="J8" s="8" t="str">
        <f t="shared" si="1"/>
        <v>OK</v>
      </c>
    </row>
    <row r="9" spans="2:10" ht="15.75" customHeight="1" x14ac:dyDescent="0.2">
      <c r="B9" s="48">
        <v>5</v>
      </c>
      <c r="C9" s="49" t="str">
        <f>IF('Команды участники'!B6="","",'Команды участники'!B6)</f>
        <v>РЦУ РЧС</v>
      </c>
      <c r="D9" s="50">
        <f>COUNTIF('Испытания Атлет'!$E$5:$E$104,C9)</f>
        <v>3</v>
      </c>
      <c r="E9" s="51">
        <f>SUMIFS('Испытания Атлет'!$T$5:$T$104,'Испытания Атлет'!$E$5:$E$104,C9)</f>
        <v>0</v>
      </c>
      <c r="F9" s="52">
        <f t="shared" si="0"/>
        <v>2</v>
      </c>
      <c r="J9" s="8" t="str">
        <f t="shared" si="1"/>
        <v>OK</v>
      </c>
    </row>
    <row r="10" spans="2:10" ht="15.75" customHeight="1" x14ac:dyDescent="0.2">
      <c r="B10" s="48">
        <v>6</v>
      </c>
      <c r="C10" s="49" t="str">
        <f>IF('Команды участники'!B7="","",'Команды участники'!B7)</f>
        <v>БГАА</v>
      </c>
      <c r="D10" s="50">
        <f>COUNTIF('Испытания Атлет'!$E$5:$E$104,C10)</f>
        <v>0</v>
      </c>
      <c r="E10" s="51">
        <f>SUMIFS('Испытания Атлет'!$T$5:$T$104,'Испытания Атлет'!$E$5:$E$104,C10)</f>
        <v>0</v>
      </c>
      <c r="F10" s="52">
        <f t="shared" si="0"/>
        <v>2</v>
      </c>
      <c r="J10" s="8" t="str">
        <f t="shared" si="1"/>
        <v>OK</v>
      </c>
    </row>
    <row r="11" spans="2:10" ht="15.75" customHeight="1" x14ac:dyDescent="0.2">
      <c r="B11" s="48">
        <v>7</v>
      </c>
      <c r="C11" s="49" t="str">
        <f>IF('Команды участники'!B8="","",'Команды участники'!B8)</f>
        <v>ВА РБ</v>
      </c>
      <c r="D11" s="50">
        <f>COUNTIF('Испытания Атлет'!$E$5:$E$104,C11)</f>
        <v>5</v>
      </c>
      <c r="E11" s="51">
        <f>SUMIFS('Испытания Атлет'!$T$5:$T$104,'Испытания Атлет'!$E$5:$E$104,C11)</f>
        <v>0</v>
      </c>
      <c r="F11" s="52">
        <f t="shared" si="0"/>
        <v>2</v>
      </c>
      <c r="J11" s="8" t="str">
        <f t="shared" si="1"/>
        <v>OK</v>
      </c>
    </row>
    <row r="12" spans="2:10" ht="15.75" customHeight="1" x14ac:dyDescent="0.2">
      <c r="B12" s="48">
        <v>8</v>
      </c>
      <c r="C12" s="49" t="str">
        <f>IF('Команды участники'!B9="","",'Команды участники'!B9)</f>
        <v>ВТФ БНТУ</v>
      </c>
      <c r="D12" s="50">
        <f>COUNTIF('Испытания Атлет'!$E$5:$E$104,C12)</f>
        <v>5</v>
      </c>
      <c r="E12" s="51">
        <f>SUMIFS('Испытания Атлет'!$T$5:$T$104,'Испытания Атлет'!$E$5:$E$104,C12)</f>
        <v>0</v>
      </c>
      <c r="F12" s="52">
        <f t="shared" si="0"/>
        <v>2</v>
      </c>
      <c r="J12" s="8" t="str">
        <f t="shared" si="1"/>
        <v>OK</v>
      </c>
    </row>
    <row r="13" spans="2:10" ht="15.75" customHeight="1" x14ac:dyDescent="0.2">
      <c r="B13" s="48">
        <v>9</v>
      </c>
      <c r="C13" s="49" t="str">
        <f>IF('Команды участники'!B10="","",'Команды участники'!B10)</f>
        <v>ИПС РБ</v>
      </c>
      <c r="D13" s="50">
        <f>COUNTIF('Испытания Атлет'!$E$5:$E$104,C13)</f>
        <v>5</v>
      </c>
      <c r="E13" s="51">
        <f>SUMIFS('Испытания Атлет'!$T$5:$T$104,'Испытания Атлет'!$E$5:$E$104,C13)</f>
        <v>408</v>
      </c>
      <c r="F13" s="52">
        <f t="shared" si="0"/>
        <v>1</v>
      </c>
      <c r="J13" s="8" t="str">
        <f t="shared" si="1"/>
        <v>OK</v>
      </c>
    </row>
    <row r="14" spans="2:10" ht="15.75" customHeight="1" x14ac:dyDescent="0.2">
      <c r="B14" s="48">
        <v>10</v>
      </c>
      <c r="C14" s="49" t="str">
        <f>IF('Команды участники'!B11="","",'Команды участники'!B11)</f>
        <v>Академия МВД</v>
      </c>
      <c r="D14" s="50">
        <f>COUNTIF('Испытания Атлет'!$E$5:$E$104,C14)</f>
        <v>5</v>
      </c>
      <c r="E14" s="51">
        <f>SUMIFS('Испытания Атлет'!$T$5:$T$104,'Испытания Атлет'!$E$5:$E$104,C14)</f>
        <v>0</v>
      </c>
      <c r="F14" s="52">
        <f t="shared" si="0"/>
        <v>2</v>
      </c>
      <c r="J14" s="8" t="str">
        <f t="shared" si="1"/>
        <v>OK</v>
      </c>
    </row>
    <row r="15" spans="2:10" ht="15.75" customHeight="1" x14ac:dyDescent="0.2">
      <c r="B15" s="48">
        <v>11</v>
      </c>
      <c r="C15" s="49" t="str">
        <f>IF('Команды участники'!B12="","",'Команды участники'!B12)</f>
        <v>ВФ БГУ</v>
      </c>
      <c r="D15" s="50">
        <f>COUNTIF('Испытания Атлет'!$E$5:$E$104,C15)</f>
        <v>0</v>
      </c>
      <c r="E15" s="51">
        <f>SUMIFS('Испытания Атлет'!$T$5:$T$104,'Испытания Атлет'!$E$5:$E$104,C15)</f>
        <v>0</v>
      </c>
      <c r="F15" s="52">
        <f t="shared" si="0"/>
        <v>2</v>
      </c>
      <c r="J15" s="8" t="str">
        <f t="shared" si="1"/>
        <v>OK</v>
      </c>
    </row>
    <row r="16" spans="2:10" ht="37.5" x14ac:dyDescent="0.2">
      <c r="B16" s="48">
        <v>12</v>
      </c>
      <c r="C16" s="49" t="str">
        <f>IF('Команды участники'!B13="","",'Команды участники'!B13)</f>
        <v>УВД Могилевского облисполкома</v>
      </c>
      <c r="D16" s="50">
        <f>COUNTIF('Испытания Атлет'!$E$5:$E$104,C16)</f>
        <v>0</v>
      </c>
      <c r="E16" s="51">
        <f>SUMIFS('Испытания Атлет'!$T$5:$T$104,'Испытания Атлет'!$E$5:$E$104,C16)</f>
        <v>0</v>
      </c>
      <c r="F16" s="52">
        <f t="shared" si="0"/>
        <v>2</v>
      </c>
      <c r="J16" s="8" t="str">
        <f t="shared" si="1"/>
        <v>OK</v>
      </c>
    </row>
    <row r="17" spans="2:10" ht="15.75" customHeight="1" x14ac:dyDescent="0.2">
      <c r="B17" s="48">
        <v>13</v>
      </c>
      <c r="C17" s="49" t="str">
        <f>IF('Команды участники'!B14="","-",'Команды участники'!B14)</f>
        <v>-</v>
      </c>
      <c r="D17" s="50">
        <f>COUNTIF('Испытания Атлет'!$E$5:$E$104,C17)</f>
        <v>0</v>
      </c>
      <c r="E17" s="51">
        <f>SUMIFS('Испытания Атлет'!$T$5:$T$104,'Испытания Атлет'!$E$5:$E$104,C17)</f>
        <v>0</v>
      </c>
      <c r="F17" s="52">
        <f t="shared" si="0"/>
        <v>2</v>
      </c>
      <c r="J17" s="8" t="str">
        <f t="shared" si="1"/>
        <v>OK</v>
      </c>
    </row>
    <row r="18" spans="2:10" ht="15.75" customHeight="1" x14ac:dyDescent="0.2">
      <c r="B18" s="48">
        <v>14</v>
      </c>
      <c r="C18" s="49" t="str">
        <f>IF('Команды участники'!B15="","-",'Команды участники'!B15)</f>
        <v>-</v>
      </c>
      <c r="D18" s="50">
        <f>COUNTIF('Испытания Атлет'!$E$5:$E$104,C18)</f>
        <v>0</v>
      </c>
      <c r="E18" s="51">
        <f>SUMIFS('Испытания Атлет'!$T$5:$T$104,'Испытания Атлет'!$E$5:$E$104,C18)</f>
        <v>0</v>
      </c>
      <c r="F18" s="52">
        <f t="shared" si="0"/>
        <v>2</v>
      </c>
      <c r="J18" s="8" t="str">
        <f t="shared" si="1"/>
        <v>OK</v>
      </c>
    </row>
    <row r="19" spans="2:10" ht="15.75" customHeight="1" x14ac:dyDescent="0.2">
      <c r="B19" s="48">
        <v>15</v>
      </c>
      <c r="C19" s="49" t="str">
        <f>IF('Команды участники'!B16="","-",'Команды участники'!B16)</f>
        <v>-</v>
      </c>
      <c r="D19" s="50">
        <f>COUNTIF('Испытания Атлет'!$E$5:$E$104,C19)</f>
        <v>0</v>
      </c>
      <c r="E19" s="51">
        <f>SUMIFS('Испытания Атлет'!$T$5:$T$104,'Испытания Атлет'!$E$5:$E$104,C19)</f>
        <v>0</v>
      </c>
      <c r="F19" s="52">
        <f t="shared" si="0"/>
        <v>2</v>
      </c>
      <c r="J19" s="8" t="str">
        <f t="shared" si="1"/>
        <v>OK</v>
      </c>
    </row>
    <row r="20" spans="2:10" ht="15.75" customHeight="1" x14ac:dyDescent="0.2">
      <c r="B20" s="48">
        <v>16</v>
      </c>
      <c r="C20" s="49" t="str">
        <f>IF('Команды участники'!B17="","-",'Команды участники'!B17)</f>
        <v>-</v>
      </c>
      <c r="D20" s="50">
        <f>COUNTIF('Испытания Атлет'!$E$5:$E$104,C20)</f>
        <v>0</v>
      </c>
      <c r="E20" s="51">
        <f>SUMIFS('Испытания Атлет'!$T$5:$T$104,'Испытания Атлет'!$E$5:$E$104,C20)</f>
        <v>0</v>
      </c>
      <c r="F20" s="52">
        <f t="shared" si="0"/>
        <v>2</v>
      </c>
      <c r="J20" s="8" t="str">
        <f t="shared" si="1"/>
        <v>OK</v>
      </c>
    </row>
    <row r="21" spans="2:10" ht="15.75" customHeight="1" x14ac:dyDescent="0.2">
      <c r="B21" s="48">
        <v>17</v>
      </c>
      <c r="C21" s="49" t="str">
        <f>IF('Команды участники'!B18="","-",'Команды участники'!B18)</f>
        <v>-</v>
      </c>
      <c r="D21" s="50">
        <f>COUNTIF('Испытания Атлет'!$E$5:$E$104,C21)</f>
        <v>0</v>
      </c>
      <c r="E21" s="51">
        <f>SUMIFS('Испытания Атлет'!$T$5:$T$104,'Испытания Атлет'!$E$5:$E$104,C21)</f>
        <v>0</v>
      </c>
      <c r="F21" s="52">
        <f t="shared" si="0"/>
        <v>2</v>
      </c>
      <c r="J21" s="8" t="str">
        <f t="shared" si="1"/>
        <v>OK</v>
      </c>
    </row>
    <row r="22" spans="2:10" ht="15.75" customHeight="1" x14ac:dyDescent="0.2">
      <c r="B22" s="48">
        <v>18</v>
      </c>
      <c r="C22" s="49" t="str">
        <f>IF('Команды участники'!B19="","-",'Команды участники'!B19)</f>
        <v>-</v>
      </c>
      <c r="D22" s="50">
        <f>COUNTIF('Испытания Атлет'!$E$5:$E$104,C22)</f>
        <v>0</v>
      </c>
      <c r="E22" s="51">
        <f>SUMIFS('Испытания Атлет'!$T$5:$T$104,'Испытания Атлет'!$E$5:$E$104,C22)</f>
        <v>0</v>
      </c>
      <c r="F22" s="52">
        <f t="shared" si="0"/>
        <v>2</v>
      </c>
      <c r="J22" s="8" t="str">
        <f t="shared" si="1"/>
        <v>OK</v>
      </c>
    </row>
    <row r="23" spans="2:10" ht="15.75" customHeight="1" x14ac:dyDescent="0.2">
      <c r="B23" s="48">
        <v>19</v>
      </c>
      <c r="C23" s="49" t="str">
        <f>IF('Команды участники'!B20="","-",'Команды участники'!B20)</f>
        <v>-</v>
      </c>
      <c r="D23" s="50">
        <f>COUNTIF('Испытания Атлет'!$E$5:$E$104,C23)</f>
        <v>0</v>
      </c>
      <c r="E23" s="51">
        <f>SUMIFS('Испытания Атлет'!$T$5:$T$104,'Испытания Атлет'!$E$5:$E$104,C23)</f>
        <v>0</v>
      </c>
      <c r="F23" s="52">
        <f t="shared" si="0"/>
        <v>2</v>
      </c>
      <c r="J23" s="8" t="str">
        <f t="shared" si="1"/>
        <v>OK</v>
      </c>
    </row>
    <row r="24" spans="2:10" ht="15.75" customHeight="1" thickBot="1" x14ac:dyDescent="0.25">
      <c r="B24" s="53">
        <v>20</v>
      </c>
      <c r="C24" s="54" t="str">
        <f>IF('Команды участники'!B21="","-",'Команды участники'!B21)</f>
        <v>-</v>
      </c>
      <c r="D24" s="55">
        <f>COUNTIF('Испытания Атлет'!$E$5:$E$104,C24)</f>
        <v>0</v>
      </c>
      <c r="E24" s="56">
        <f>SUMIFS('Испытания Атлет'!$T$5:$T$104,'Испытания Атлет'!$E$5:$E$104,C24)</f>
        <v>0</v>
      </c>
      <c r="F24" s="57">
        <f t="shared" si="0"/>
        <v>2</v>
      </c>
      <c r="J24" s="8" t="str">
        <f t="shared" si="1"/>
        <v>OK</v>
      </c>
    </row>
    <row r="25" spans="2:10" x14ac:dyDescent="0.2">
      <c r="C25" s="35"/>
      <c r="D25" s="7"/>
      <c r="E25" s="6"/>
    </row>
    <row r="27" spans="2:10" ht="20.25" x14ac:dyDescent="0.3">
      <c r="B27" s="58" t="s">
        <v>144</v>
      </c>
      <c r="C27" s="59"/>
      <c r="D27" s="60"/>
      <c r="E27" s="58"/>
      <c r="F27" s="61" t="s">
        <v>145</v>
      </c>
    </row>
    <row r="28" spans="2:10" ht="20.25" x14ac:dyDescent="0.3">
      <c r="B28" s="58"/>
      <c r="C28" s="59"/>
      <c r="D28" s="60"/>
      <c r="E28" s="58"/>
      <c r="F28" s="58"/>
    </row>
  </sheetData>
  <mergeCells count="1">
    <mergeCell ref="B1:F1"/>
  </mergeCells>
  <pageMargins left="0.7" right="0.7" top="0.75" bottom="0.75" header="0.3" footer="0.3"/>
  <pageSetup paperSize="9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B2:I104"/>
  <sheetViews>
    <sheetView topLeftCell="A73" workbookViewId="0">
      <selection activeCell="H5" sqref="H5:H104"/>
    </sheetView>
  </sheetViews>
  <sheetFormatPr defaultRowHeight="12.75" x14ac:dyDescent="0.2"/>
  <cols>
    <col min="2" max="2" width="17.7109375" customWidth="1"/>
    <col min="3" max="3" width="17.28515625" customWidth="1"/>
    <col min="4" max="4" width="18.85546875" customWidth="1"/>
    <col min="5" max="6" width="17.7109375" customWidth="1"/>
    <col min="7" max="7" width="18.85546875" customWidth="1"/>
    <col min="8" max="8" width="16.5703125" customWidth="1"/>
    <col min="9" max="9" width="16.85546875" customWidth="1"/>
  </cols>
  <sheetData>
    <row r="2" spans="2:9" ht="13.5" thickBot="1" x14ac:dyDescent="0.25"/>
    <row r="3" spans="2:9" ht="99" x14ac:dyDescent="0.2">
      <c r="B3" s="13" t="s">
        <v>111</v>
      </c>
      <c r="C3" s="14" t="s">
        <v>112</v>
      </c>
      <c r="D3" s="15" t="s">
        <v>136</v>
      </c>
      <c r="E3" s="15" t="s">
        <v>114</v>
      </c>
      <c r="F3" s="14" t="s">
        <v>137</v>
      </c>
      <c r="G3" s="14" t="s">
        <v>118</v>
      </c>
      <c r="H3" s="14" t="s">
        <v>119</v>
      </c>
      <c r="I3" s="291" t="s">
        <v>6</v>
      </c>
    </row>
    <row r="4" spans="2:9" ht="61.5" customHeight="1" thickBot="1" x14ac:dyDescent="0.25">
      <c r="B4" s="19" t="s">
        <v>3</v>
      </c>
      <c r="C4" s="20" t="s">
        <v>5</v>
      </c>
      <c r="D4" s="21" t="s">
        <v>3</v>
      </c>
      <c r="E4" s="21" t="s">
        <v>3</v>
      </c>
      <c r="F4" s="21" t="s">
        <v>3</v>
      </c>
      <c r="G4" s="21" t="s">
        <v>3</v>
      </c>
      <c r="H4" s="20" t="s">
        <v>5</v>
      </c>
      <c r="I4" s="292"/>
    </row>
    <row r="5" spans="2:9" ht="16.5" x14ac:dyDescent="0.2">
      <c r="B5" s="25">
        <v>25</v>
      </c>
      <c r="C5" s="18">
        <v>2.2000000000000002</v>
      </c>
      <c r="D5" s="28">
        <v>40</v>
      </c>
      <c r="E5" s="28">
        <v>30</v>
      </c>
      <c r="F5" s="29">
        <v>90</v>
      </c>
      <c r="G5" s="29">
        <v>100</v>
      </c>
      <c r="H5" s="18">
        <v>35</v>
      </c>
      <c r="I5" s="22">
        <v>100</v>
      </c>
    </row>
    <row r="6" spans="2:9" ht="16.5" x14ac:dyDescent="0.2">
      <c r="B6" s="26" t="s">
        <v>8</v>
      </c>
      <c r="C6" s="16">
        <v>2.21</v>
      </c>
      <c r="D6" s="30" t="s">
        <v>8</v>
      </c>
      <c r="E6" s="30" t="s">
        <v>8</v>
      </c>
      <c r="F6" s="31">
        <v>89</v>
      </c>
      <c r="G6" s="31">
        <v>99</v>
      </c>
      <c r="H6" s="16">
        <v>35.1</v>
      </c>
      <c r="I6" s="23">
        <v>99</v>
      </c>
    </row>
    <row r="7" spans="2:9" ht="16.5" x14ac:dyDescent="0.2">
      <c r="B7" s="26" t="s">
        <v>8</v>
      </c>
      <c r="C7" s="16">
        <v>2.2200000000000002</v>
      </c>
      <c r="D7" s="30"/>
      <c r="E7" s="30">
        <v>29</v>
      </c>
      <c r="F7" s="31">
        <v>88</v>
      </c>
      <c r="G7" s="31">
        <v>98</v>
      </c>
      <c r="H7" s="16">
        <v>35.200000000000003</v>
      </c>
      <c r="I7" s="23">
        <v>98</v>
      </c>
    </row>
    <row r="8" spans="2:9" ht="16.5" x14ac:dyDescent="0.2">
      <c r="B8" s="26" t="s">
        <v>8</v>
      </c>
      <c r="C8" s="16">
        <v>2.23</v>
      </c>
      <c r="D8" s="30">
        <v>39</v>
      </c>
      <c r="E8" s="30" t="s">
        <v>8</v>
      </c>
      <c r="F8" s="31">
        <v>87</v>
      </c>
      <c r="G8" s="31">
        <v>97</v>
      </c>
      <c r="H8" s="16">
        <v>35.299999999999997</v>
      </c>
      <c r="I8" s="23">
        <v>97</v>
      </c>
    </row>
    <row r="9" spans="2:9" ht="16.5" x14ac:dyDescent="0.2">
      <c r="B9" s="26">
        <v>24</v>
      </c>
      <c r="C9" s="16">
        <v>2.2400000000000002</v>
      </c>
      <c r="D9" s="30" t="s">
        <v>8</v>
      </c>
      <c r="E9" s="30">
        <v>28</v>
      </c>
      <c r="F9" s="31">
        <v>86</v>
      </c>
      <c r="G9" s="31">
        <v>96</v>
      </c>
      <c r="H9" s="16">
        <v>35.4</v>
      </c>
      <c r="I9" s="23">
        <v>96</v>
      </c>
    </row>
    <row r="10" spans="2:9" ht="16.5" x14ac:dyDescent="0.2">
      <c r="B10" s="26" t="s">
        <v>8</v>
      </c>
      <c r="C10" s="16">
        <v>2.25</v>
      </c>
      <c r="D10" s="30" t="s">
        <v>8</v>
      </c>
      <c r="E10" s="30" t="s">
        <v>8</v>
      </c>
      <c r="F10" s="31">
        <v>85</v>
      </c>
      <c r="G10" s="31">
        <v>95</v>
      </c>
      <c r="H10" s="16">
        <v>35.5</v>
      </c>
      <c r="I10" s="23">
        <v>95</v>
      </c>
    </row>
    <row r="11" spans="2:9" ht="16.5" x14ac:dyDescent="0.2">
      <c r="B11" s="26" t="s">
        <v>8</v>
      </c>
      <c r="C11" s="16">
        <v>2.2599999999999998</v>
      </c>
      <c r="D11" s="30">
        <v>38</v>
      </c>
      <c r="E11" s="30">
        <v>27</v>
      </c>
      <c r="F11" s="31">
        <v>84</v>
      </c>
      <c r="G11" s="31">
        <v>94</v>
      </c>
      <c r="H11" s="16">
        <v>36</v>
      </c>
      <c r="I11" s="23">
        <v>94</v>
      </c>
    </row>
    <row r="12" spans="2:9" ht="16.5" x14ac:dyDescent="0.2">
      <c r="B12" s="26" t="s">
        <v>8</v>
      </c>
      <c r="C12" s="16">
        <v>2.27</v>
      </c>
      <c r="D12" s="30" t="s">
        <v>8</v>
      </c>
      <c r="E12" s="30" t="s">
        <v>8</v>
      </c>
      <c r="F12" s="31">
        <v>83</v>
      </c>
      <c r="G12" s="31">
        <v>93</v>
      </c>
      <c r="H12" s="16">
        <v>36.1</v>
      </c>
      <c r="I12" s="23">
        <v>93</v>
      </c>
    </row>
    <row r="13" spans="2:9" ht="16.5" x14ac:dyDescent="0.2">
      <c r="B13" s="26">
        <v>23</v>
      </c>
      <c r="C13" s="16">
        <v>2.2799999999999998</v>
      </c>
      <c r="D13" s="30"/>
      <c r="E13" s="30">
        <v>26</v>
      </c>
      <c r="F13" s="31">
        <v>82</v>
      </c>
      <c r="G13" s="31">
        <v>92</v>
      </c>
      <c r="H13" s="16">
        <v>36.200000000000003</v>
      </c>
      <c r="I13" s="23">
        <v>92</v>
      </c>
    </row>
    <row r="14" spans="2:9" ht="16.5" x14ac:dyDescent="0.2">
      <c r="B14" s="26" t="s">
        <v>8</v>
      </c>
      <c r="C14" s="16">
        <v>2.29</v>
      </c>
      <c r="D14" s="30">
        <v>37</v>
      </c>
      <c r="E14" s="30" t="s">
        <v>8</v>
      </c>
      <c r="F14" s="31">
        <v>81</v>
      </c>
      <c r="G14" s="31">
        <v>91</v>
      </c>
      <c r="H14" s="16">
        <v>36.299999999999997</v>
      </c>
      <c r="I14" s="23">
        <v>91</v>
      </c>
    </row>
    <row r="15" spans="2:9" ht="16.5" x14ac:dyDescent="0.2">
      <c r="B15" s="26" t="s">
        <v>8</v>
      </c>
      <c r="C15" s="16">
        <v>2.2999999999999998</v>
      </c>
      <c r="D15" s="30"/>
      <c r="E15" s="30">
        <v>25</v>
      </c>
      <c r="F15" s="31">
        <v>80</v>
      </c>
      <c r="G15" s="31">
        <v>90</v>
      </c>
      <c r="H15" s="16">
        <v>36.4</v>
      </c>
      <c r="I15" s="23">
        <v>90</v>
      </c>
    </row>
    <row r="16" spans="2:9" ht="16.5" x14ac:dyDescent="0.2">
      <c r="B16" s="26" t="s">
        <v>8</v>
      </c>
      <c r="C16" s="16">
        <v>2.31</v>
      </c>
      <c r="D16" s="30" t="s">
        <v>8</v>
      </c>
      <c r="E16" s="30" t="s">
        <v>8</v>
      </c>
      <c r="F16" s="31">
        <v>79</v>
      </c>
      <c r="G16" s="31">
        <v>89</v>
      </c>
      <c r="H16" s="16">
        <v>36.5</v>
      </c>
      <c r="I16" s="23">
        <v>89</v>
      </c>
    </row>
    <row r="17" spans="2:9" ht="16.5" x14ac:dyDescent="0.2">
      <c r="B17" s="26">
        <v>22</v>
      </c>
      <c r="C17" s="16">
        <v>2.3199999999999998</v>
      </c>
      <c r="D17" s="30">
        <v>36</v>
      </c>
      <c r="E17" s="30">
        <v>24</v>
      </c>
      <c r="F17" s="31">
        <v>78</v>
      </c>
      <c r="G17" s="31">
        <v>88</v>
      </c>
      <c r="H17" s="16">
        <v>37</v>
      </c>
      <c r="I17" s="23">
        <v>88</v>
      </c>
    </row>
    <row r="18" spans="2:9" ht="16.5" x14ac:dyDescent="0.2">
      <c r="B18" s="26" t="s">
        <v>8</v>
      </c>
      <c r="C18" s="16">
        <v>2.33</v>
      </c>
      <c r="D18" s="30" t="s">
        <v>8</v>
      </c>
      <c r="E18" s="30" t="s">
        <v>8</v>
      </c>
      <c r="F18" s="31">
        <v>77</v>
      </c>
      <c r="G18" s="31">
        <v>87</v>
      </c>
      <c r="H18" s="16">
        <v>37.1</v>
      </c>
      <c r="I18" s="23">
        <v>87</v>
      </c>
    </row>
    <row r="19" spans="2:9" ht="16.5" x14ac:dyDescent="0.2">
      <c r="B19" s="26" t="s">
        <v>8</v>
      </c>
      <c r="C19" s="16">
        <v>2.34</v>
      </c>
      <c r="D19" s="30" t="s">
        <v>8</v>
      </c>
      <c r="E19" s="30">
        <v>23</v>
      </c>
      <c r="F19" s="31">
        <v>76</v>
      </c>
      <c r="G19" s="31">
        <v>86</v>
      </c>
      <c r="H19" s="16">
        <v>37.200000000000003</v>
      </c>
      <c r="I19" s="23">
        <v>86</v>
      </c>
    </row>
    <row r="20" spans="2:9" ht="16.5" x14ac:dyDescent="0.2">
      <c r="B20" s="26" t="s">
        <v>8</v>
      </c>
      <c r="C20" s="16">
        <v>2.35</v>
      </c>
      <c r="D20" s="30">
        <v>35</v>
      </c>
      <c r="E20" s="30" t="s">
        <v>8</v>
      </c>
      <c r="F20" s="31">
        <v>75</v>
      </c>
      <c r="G20" s="31">
        <v>85</v>
      </c>
      <c r="H20" s="16">
        <v>37.299999999999997</v>
      </c>
      <c r="I20" s="23">
        <v>85</v>
      </c>
    </row>
    <row r="21" spans="2:9" ht="16.5" x14ac:dyDescent="0.2">
      <c r="B21" s="26">
        <v>21</v>
      </c>
      <c r="C21" s="16">
        <v>2.36</v>
      </c>
      <c r="D21" s="30" t="s">
        <v>8</v>
      </c>
      <c r="E21" s="30">
        <v>22</v>
      </c>
      <c r="F21" s="31">
        <v>74</v>
      </c>
      <c r="G21" s="31">
        <v>84</v>
      </c>
      <c r="H21" s="16">
        <v>37.4</v>
      </c>
      <c r="I21" s="23">
        <v>84</v>
      </c>
    </row>
    <row r="22" spans="2:9" ht="16.5" x14ac:dyDescent="0.2">
      <c r="B22" s="26" t="s">
        <v>8</v>
      </c>
      <c r="C22" s="16">
        <v>2.38</v>
      </c>
      <c r="D22" s="30" t="s">
        <v>8</v>
      </c>
      <c r="E22" s="30" t="s">
        <v>8</v>
      </c>
      <c r="F22" s="31">
        <v>73</v>
      </c>
      <c r="G22" s="31">
        <v>83</v>
      </c>
      <c r="H22" s="16">
        <v>37.5</v>
      </c>
      <c r="I22" s="23">
        <v>83</v>
      </c>
    </row>
    <row r="23" spans="2:9" ht="16.5" x14ac:dyDescent="0.2">
      <c r="B23" s="26" t="s">
        <v>8</v>
      </c>
      <c r="C23" s="16">
        <v>2.4</v>
      </c>
      <c r="D23" s="30">
        <v>34</v>
      </c>
      <c r="E23" s="30">
        <v>21</v>
      </c>
      <c r="F23" s="31">
        <v>72</v>
      </c>
      <c r="G23" s="31">
        <v>82</v>
      </c>
      <c r="H23" s="16">
        <v>38</v>
      </c>
      <c r="I23" s="23">
        <v>82</v>
      </c>
    </row>
    <row r="24" spans="2:9" ht="16.5" x14ac:dyDescent="0.2">
      <c r="B24" s="26" t="s">
        <v>8</v>
      </c>
      <c r="C24" s="16">
        <v>2.42</v>
      </c>
      <c r="D24" s="30" t="s">
        <v>8</v>
      </c>
      <c r="E24" s="30" t="s">
        <v>8</v>
      </c>
      <c r="F24" s="31">
        <v>71</v>
      </c>
      <c r="G24" s="31">
        <v>81</v>
      </c>
      <c r="H24" s="16">
        <v>38.1</v>
      </c>
      <c r="I24" s="23">
        <v>81</v>
      </c>
    </row>
    <row r="25" spans="2:9" ht="16.5" x14ac:dyDescent="0.2">
      <c r="B25" s="26">
        <v>20</v>
      </c>
      <c r="C25" s="16">
        <v>2.44</v>
      </c>
      <c r="D25" s="30"/>
      <c r="E25" s="30" t="s">
        <v>8</v>
      </c>
      <c r="F25" s="31">
        <v>70</v>
      </c>
      <c r="G25" s="31">
        <v>80</v>
      </c>
      <c r="H25" s="16">
        <v>38.200000000000003</v>
      </c>
      <c r="I25" s="23">
        <v>80</v>
      </c>
    </row>
    <row r="26" spans="2:9" ht="16.5" x14ac:dyDescent="0.2">
      <c r="B26" s="26" t="s">
        <v>8</v>
      </c>
      <c r="C26" s="16">
        <v>2.46</v>
      </c>
      <c r="D26" s="30">
        <v>33</v>
      </c>
      <c r="E26" s="30">
        <v>20</v>
      </c>
      <c r="F26" s="31">
        <v>69</v>
      </c>
      <c r="G26" s="31">
        <v>79</v>
      </c>
      <c r="H26" s="16">
        <v>38.299999999999997</v>
      </c>
      <c r="I26" s="23">
        <v>79</v>
      </c>
    </row>
    <row r="27" spans="2:9" ht="16.5" x14ac:dyDescent="0.2">
      <c r="B27" s="26" t="s">
        <v>8</v>
      </c>
      <c r="C27" s="16">
        <v>2.48</v>
      </c>
      <c r="D27" s="30" t="s">
        <v>8</v>
      </c>
      <c r="E27" s="30" t="s">
        <v>8</v>
      </c>
      <c r="F27" s="31">
        <v>68</v>
      </c>
      <c r="G27" s="31">
        <v>78</v>
      </c>
      <c r="H27" s="16">
        <v>38.4</v>
      </c>
      <c r="I27" s="23">
        <v>78</v>
      </c>
    </row>
    <row r="28" spans="2:9" ht="16.5" x14ac:dyDescent="0.2">
      <c r="B28" s="26" t="s">
        <v>8</v>
      </c>
      <c r="C28" s="16">
        <v>2.5</v>
      </c>
      <c r="D28" s="30" t="s">
        <v>8</v>
      </c>
      <c r="E28" s="30" t="s">
        <v>8</v>
      </c>
      <c r="F28" s="31">
        <v>67</v>
      </c>
      <c r="G28" s="31">
        <v>77</v>
      </c>
      <c r="H28" s="16">
        <v>38.5</v>
      </c>
      <c r="I28" s="23">
        <v>77</v>
      </c>
    </row>
    <row r="29" spans="2:9" ht="16.5" x14ac:dyDescent="0.2">
      <c r="B29" s="26">
        <v>19</v>
      </c>
      <c r="C29" s="16">
        <v>2.52</v>
      </c>
      <c r="D29" s="30">
        <v>32</v>
      </c>
      <c r="E29" s="30">
        <v>19</v>
      </c>
      <c r="F29" s="31">
        <v>66</v>
      </c>
      <c r="G29" s="31">
        <v>76</v>
      </c>
      <c r="H29" s="16">
        <v>39</v>
      </c>
      <c r="I29" s="23">
        <v>76</v>
      </c>
    </row>
    <row r="30" spans="2:9" ht="16.5" x14ac:dyDescent="0.2">
      <c r="B30" s="26" t="s">
        <v>8</v>
      </c>
      <c r="C30" s="16">
        <v>2.54</v>
      </c>
      <c r="D30" s="30" t="s">
        <v>8</v>
      </c>
      <c r="E30" s="30" t="s">
        <v>8</v>
      </c>
      <c r="F30" s="31">
        <v>65</v>
      </c>
      <c r="G30" s="31">
        <v>75</v>
      </c>
      <c r="H30" s="16">
        <v>39.1</v>
      </c>
      <c r="I30" s="23">
        <v>75</v>
      </c>
    </row>
    <row r="31" spans="2:9" ht="16.5" x14ac:dyDescent="0.2">
      <c r="B31" s="26" t="s">
        <v>8</v>
      </c>
      <c r="C31" s="16">
        <v>2.56</v>
      </c>
      <c r="D31" s="30" t="s">
        <v>8</v>
      </c>
      <c r="E31" s="30" t="s">
        <v>8</v>
      </c>
      <c r="F31" s="31">
        <v>64</v>
      </c>
      <c r="G31" s="31">
        <v>74</v>
      </c>
      <c r="H31" s="16">
        <v>39.200000000000003</v>
      </c>
      <c r="I31" s="23">
        <v>74</v>
      </c>
    </row>
    <row r="32" spans="2:9" ht="16.5" x14ac:dyDescent="0.2">
      <c r="B32" s="26" t="s">
        <v>8</v>
      </c>
      <c r="C32" s="16">
        <v>2.58</v>
      </c>
      <c r="D32" s="30">
        <v>31</v>
      </c>
      <c r="E32" s="30">
        <v>18</v>
      </c>
      <c r="F32" s="31">
        <v>63</v>
      </c>
      <c r="G32" s="31">
        <v>73</v>
      </c>
      <c r="H32" s="16">
        <v>39.299999999999997</v>
      </c>
      <c r="I32" s="23">
        <v>73</v>
      </c>
    </row>
    <row r="33" spans="2:9" ht="16.5" x14ac:dyDescent="0.2">
      <c r="B33" s="26">
        <v>18</v>
      </c>
      <c r="C33" s="16">
        <v>3</v>
      </c>
      <c r="D33" s="30" t="s">
        <v>8</v>
      </c>
      <c r="E33" s="30" t="s">
        <v>8</v>
      </c>
      <c r="F33" s="31">
        <v>62</v>
      </c>
      <c r="G33" s="31">
        <v>72</v>
      </c>
      <c r="H33" s="16">
        <v>39.4</v>
      </c>
      <c r="I33" s="23">
        <v>72</v>
      </c>
    </row>
    <row r="34" spans="2:9" ht="16.5" x14ac:dyDescent="0.2">
      <c r="B34" s="26" t="s">
        <v>8</v>
      </c>
      <c r="C34" s="16">
        <v>3.02</v>
      </c>
      <c r="D34" s="30" t="s">
        <v>8</v>
      </c>
      <c r="E34" s="30" t="s">
        <v>8</v>
      </c>
      <c r="F34" s="31">
        <v>61</v>
      </c>
      <c r="G34" s="31">
        <v>71</v>
      </c>
      <c r="H34" s="16">
        <v>39.5</v>
      </c>
      <c r="I34" s="23">
        <v>71</v>
      </c>
    </row>
    <row r="35" spans="2:9" ht="16.5" x14ac:dyDescent="0.2">
      <c r="B35" s="26" t="s">
        <v>8</v>
      </c>
      <c r="C35" s="16">
        <v>3.04</v>
      </c>
      <c r="D35" s="30">
        <v>30</v>
      </c>
      <c r="E35" s="30">
        <v>17</v>
      </c>
      <c r="F35" s="31">
        <v>60</v>
      </c>
      <c r="G35" s="31">
        <v>70</v>
      </c>
      <c r="H35" s="16">
        <v>40</v>
      </c>
      <c r="I35" s="23">
        <v>70</v>
      </c>
    </row>
    <row r="36" spans="2:9" ht="16.5" x14ac:dyDescent="0.2">
      <c r="B36" s="26" t="s">
        <v>8</v>
      </c>
      <c r="C36" s="16">
        <v>3.06</v>
      </c>
      <c r="D36" s="30" t="s">
        <v>8</v>
      </c>
      <c r="E36" s="30" t="s">
        <v>8</v>
      </c>
      <c r="F36" s="31">
        <v>59</v>
      </c>
      <c r="G36" s="31">
        <v>69</v>
      </c>
      <c r="H36" s="16">
        <v>40.1</v>
      </c>
      <c r="I36" s="23">
        <v>69</v>
      </c>
    </row>
    <row r="37" spans="2:9" ht="16.5" x14ac:dyDescent="0.2">
      <c r="B37" s="26">
        <v>17</v>
      </c>
      <c r="C37" s="16">
        <v>3.08</v>
      </c>
      <c r="D37" s="30" t="s">
        <v>8</v>
      </c>
      <c r="E37" s="30" t="s">
        <v>8</v>
      </c>
      <c r="F37" s="31">
        <v>58</v>
      </c>
      <c r="G37" s="31">
        <v>68</v>
      </c>
      <c r="H37" s="16">
        <v>40.200000000000003</v>
      </c>
      <c r="I37" s="23">
        <v>68</v>
      </c>
    </row>
    <row r="38" spans="2:9" ht="16.5" x14ac:dyDescent="0.2">
      <c r="B38" s="26" t="s">
        <v>8</v>
      </c>
      <c r="C38" s="16">
        <v>3.1</v>
      </c>
      <c r="D38" s="30">
        <v>29</v>
      </c>
      <c r="E38" s="30">
        <v>16</v>
      </c>
      <c r="F38" s="31">
        <v>57</v>
      </c>
      <c r="G38" s="31">
        <v>67</v>
      </c>
      <c r="H38" s="16">
        <v>40.299999999999997</v>
      </c>
      <c r="I38" s="23">
        <v>67</v>
      </c>
    </row>
    <row r="39" spans="2:9" ht="16.5" x14ac:dyDescent="0.2">
      <c r="B39" s="26" t="s">
        <v>8</v>
      </c>
      <c r="C39" s="16">
        <v>3.12</v>
      </c>
      <c r="D39" s="30" t="s">
        <v>8</v>
      </c>
      <c r="E39" s="30" t="s">
        <v>8</v>
      </c>
      <c r="F39" s="31">
        <v>56</v>
      </c>
      <c r="G39" s="31">
        <v>66</v>
      </c>
      <c r="H39" s="16">
        <v>40.4</v>
      </c>
      <c r="I39" s="23">
        <v>66</v>
      </c>
    </row>
    <row r="40" spans="2:9" ht="16.5" x14ac:dyDescent="0.2">
      <c r="B40" s="26" t="s">
        <v>8</v>
      </c>
      <c r="C40" s="16">
        <v>3.14</v>
      </c>
      <c r="D40" s="30" t="s">
        <v>8</v>
      </c>
      <c r="E40" s="30" t="s">
        <v>8</v>
      </c>
      <c r="F40" s="31">
        <v>55</v>
      </c>
      <c r="G40" s="31">
        <v>65</v>
      </c>
      <c r="H40" s="16">
        <v>40.5</v>
      </c>
      <c r="I40" s="23">
        <v>65</v>
      </c>
    </row>
    <row r="41" spans="2:9" ht="16.5" x14ac:dyDescent="0.2">
      <c r="B41" s="26">
        <v>16</v>
      </c>
      <c r="C41" s="16">
        <v>3.16</v>
      </c>
      <c r="D41" s="30">
        <v>28</v>
      </c>
      <c r="E41" s="30">
        <v>15</v>
      </c>
      <c r="F41" s="31">
        <v>54</v>
      </c>
      <c r="G41" s="31">
        <v>64</v>
      </c>
      <c r="H41" s="16">
        <v>41</v>
      </c>
      <c r="I41" s="23">
        <v>64</v>
      </c>
    </row>
    <row r="42" spans="2:9" ht="16.5" x14ac:dyDescent="0.2">
      <c r="B42" s="26" t="s">
        <v>8</v>
      </c>
      <c r="C42" s="16">
        <v>3.18</v>
      </c>
      <c r="D42" s="30" t="s">
        <v>8</v>
      </c>
      <c r="E42" s="30" t="s">
        <v>8</v>
      </c>
      <c r="F42" s="31">
        <v>53</v>
      </c>
      <c r="G42" s="31">
        <v>63</v>
      </c>
      <c r="H42" s="16">
        <v>41.1</v>
      </c>
      <c r="I42" s="23">
        <v>63</v>
      </c>
    </row>
    <row r="43" spans="2:9" ht="16.5" x14ac:dyDescent="0.2">
      <c r="B43" s="26" t="s">
        <v>8</v>
      </c>
      <c r="C43" s="16">
        <v>3.2</v>
      </c>
      <c r="D43" s="30" t="s">
        <v>8</v>
      </c>
      <c r="E43" s="30" t="s">
        <v>8</v>
      </c>
      <c r="F43" s="31">
        <v>52</v>
      </c>
      <c r="G43" s="31">
        <v>62</v>
      </c>
      <c r="H43" s="16">
        <v>41.2</v>
      </c>
      <c r="I43" s="23">
        <v>62</v>
      </c>
    </row>
    <row r="44" spans="2:9" ht="16.5" x14ac:dyDescent="0.2">
      <c r="B44" s="26" t="s">
        <v>8</v>
      </c>
      <c r="C44" s="16">
        <v>3.22</v>
      </c>
      <c r="D44" s="30">
        <v>27</v>
      </c>
      <c r="E44" s="30" t="s">
        <v>8</v>
      </c>
      <c r="F44" s="31">
        <v>51</v>
      </c>
      <c r="G44" s="31">
        <v>61</v>
      </c>
      <c r="H44" s="16">
        <v>41.3</v>
      </c>
      <c r="I44" s="23">
        <v>61</v>
      </c>
    </row>
    <row r="45" spans="2:9" ht="16.5" x14ac:dyDescent="0.2">
      <c r="B45" s="26">
        <v>15</v>
      </c>
      <c r="C45" s="16">
        <v>3.24</v>
      </c>
      <c r="D45" s="30" t="s">
        <v>8</v>
      </c>
      <c r="E45" s="30">
        <v>14</v>
      </c>
      <c r="F45" s="31">
        <v>50</v>
      </c>
      <c r="G45" s="31">
        <v>60</v>
      </c>
      <c r="H45" s="16">
        <v>41.4</v>
      </c>
      <c r="I45" s="23">
        <v>60</v>
      </c>
    </row>
    <row r="46" spans="2:9" ht="16.5" x14ac:dyDescent="0.2">
      <c r="B46" s="26" t="s">
        <v>8</v>
      </c>
      <c r="C46" s="16">
        <v>3.26</v>
      </c>
      <c r="D46" s="30" t="s">
        <v>8</v>
      </c>
      <c r="E46" s="30" t="s">
        <v>8</v>
      </c>
      <c r="F46" s="31">
        <v>49</v>
      </c>
      <c r="G46" s="31">
        <v>59</v>
      </c>
      <c r="H46" s="16">
        <v>41.5</v>
      </c>
      <c r="I46" s="23">
        <v>59</v>
      </c>
    </row>
    <row r="47" spans="2:9" ht="16.5" x14ac:dyDescent="0.2">
      <c r="B47" s="26" t="s">
        <v>8</v>
      </c>
      <c r="C47" s="16">
        <v>3.28</v>
      </c>
      <c r="D47" s="30">
        <v>26</v>
      </c>
      <c r="E47" s="30" t="s">
        <v>8</v>
      </c>
      <c r="F47" s="31">
        <v>48</v>
      </c>
      <c r="G47" s="31">
        <v>58</v>
      </c>
      <c r="H47" s="16">
        <v>42</v>
      </c>
      <c r="I47" s="23">
        <v>58</v>
      </c>
    </row>
    <row r="48" spans="2:9" ht="16.5" x14ac:dyDescent="0.2">
      <c r="B48" s="26" t="s">
        <v>8</v>
      </c>
      <c r="C48" s="16">
        <v>3.3</v>
      </c>
      <c r="D48" s="30" t="s">
        <v>8</v>
      </c>
      <c r="E48" s="30" t="s">
        <v>8</v>
      </c>
      <c r="F48" s="31">
        <v>47</v>
      </c>
      <c r="G48" s="31">
        <v>57</v>
      </c>
      <c r="H48" s="16">
        <v>42.1</v>
      </c>
      <c r="I48" s="23">
        <v>57</v>
      </c>
    </row>
    <row r="49" spans="2:9" ht="16.5" x14ac:dyDescent="0.2">
      <c r="B49" s="26">
        <v>14</v>
      </c>
      <c r="C49" s="16">
        <v>3.32</v>
      </c>
      <c r="D49" s="30" t="s">
        <v>8</v>
      </c>
      <c r="E49" s="30">
        <v>13</v>
      </c>
      <c r="F49" s="31">
        <v>46</v>
      </c>
      <c r="G49" s="31">
        <v>56</v>
      </c>
      <c r="H49" s="16">
        <v>42.2</v>
      </c>
      <c r="I49" s="23">
        <v>56</v>
      </c>
    </row>
    <row r="50" spans="2:9" ht="16.5" x14ac:dyDescent="0.2">
      <c r="B50" s="26" t="s">
        <v>8</v>
      </c>
      <c r="C50" s="16">
        <v>3.34</v>
      </c>
      <c r="D50" s="30">
        <v>25</v>
      </c>
      <c r="E50" s="30" t="s">
        <v>8</v>
      </c>
      <c r="F50" s="31">
        <v>45</v>
      </c>
      <c r="G50" s="31">
        <v>55</v>
      </c>
      <c r="H50" s="16">
        <v>42.3</v>
      </c>
      <c r="I50" s="23">
        <v>55</v>
      </c>
    </row>
    <row r="51" spans="2:9" ht="16.5" x14ac:dyDescent="0.2">
      <c r="B51" s="26" t="s">
        <v>8</v>
      </c>
      <c r="C51" s="16">
        <v>3.36</v>
      </c>
      <c r="D51" s="30" t="s">
        <v>8</v>
      </c>
      <c r="E51" s="30" t="s">
        <v>8</v>
      </c>
      <c r="F51" s="31">
        <v>44</v>
      </c>
      <c r="G51" s="31">
        <v>54</v>
      </c>
      <c r="H51" s="16">
        <v>42.4</v>
      </c>
      <c r="I51" s="23">
        <v>54</v>
      </c>
    </row>
    <row r="52" spans="2:9" ht="16.5" x14ac:dyDescent="0.2">
      <c r="B52" s="26" t="s">
        <v>8</v>
      </c>
      <c r="C52" s="16">
        <v>3.38</v>
      </c>
      <c r="D52" s="30" t="s">
        <v>8</v>
      </c>
      <c r="E52" s="30" t="s">
        <v>8</v>
      </c>
      <c r="F52" s="31">
        <v>43</v>
      </c>
      <c r="G52" s="31">
        <v>53</v>
      </c>
      <c r="H52" s="16">
        <v>42.5</v>
      </c>
      <c r="I52" s="23">
        <v>53</v>
      </c>
    </row>
    <row r="53" spans="2:9" ht="16.5" x14ac:dyDescent="0.2">
      <c r="B53" s="26">
        <v>13</v>
      </c>
      <c r="C53" s="16">
        <v>3.4</v>
      </c>
      <c r="D53" s="30">
        <v>24</v>
      </c>
      <c r="E53" s="30">
        <v>12</v>
      </c>
      <c r="F53" s="31">
        <v>42</v>
      </c>
      <c r="G53" s="31">
        <v>52</v>
      </c>
      <c r="H53" s="16">
        <v>43</v>
      </c>
      <c r="I53" s="23">
        <v>52</v>
      </c>
    </row>
    <row r="54" spans="2:9" ht="16.5" x14ac:dyDescent="0.2">
      <c r="B54" s="26" t="s">
        <v>8</v>
      </c>
      <c r="C54" s="16">
        <v>3.42</v>
      </c>
      <c r="D54" s="30" t="s">
        <v>8</v>
      </c>
      <c r="E54" s="30" t="s">
        <v>8</v>
      </c>
      <c r="F54" s="31">
        <v>41</v>
      </c>
      <c r="G54" s="31">
        <v>51</v>
      </c>
      <c r="H54" s="16">
        <v>43.1</v>
      </c>
      <c r="I54" s="23">
        <v>51</v>
      </c>
    </row>
    <row r="55" spans="2:9" ht="16.5" x14ac:dyDescent="0.2">
      <c r="B55" s="26" t="s">
        <v>8</v>
      </c>
      <c r="C55" s="16">
        <v>3.44</v>
      </c>
      <c r="D55" s="30" t="s">
        <v>8</v>
      </c>
      <c r="E55" s="30" t="s">
        <v>8</v>
      </c>
      <c r="F55" s="31">
        <v>40</v>
      </c>
      <c r="G55" s="31">
        <v>50</v>
      </c>
      <c r="H55" s="16">
        <v>43.2</v>
      </c>
      <c r="I55" s="23">
        <v>50</v>
      </c>
    </row>
    <row r="56" spans="2:9" ht="16.5" x14ac:dyDescent="0.2">
      <c r="B56" s="26" t="s">
        <v>8</v>
      </c>
      <c r="C56" s="16">
        <v>3.46</v>
      </c>
      <c r="D56" s="30">
        <v>23</v>
      </c>
      <c r="E56" s="30" t="s">
        <v>8</v>
      </c>
      <c r="F56" s="31" t="s">
        <v>8</v>
      </c>
      <c r="G56" s="31">
        <v>49</v>
      </c>
      <c r="H56" s="16">
        <v>43.3</v>
      </c>
      <c r="I56" s="23">
        <v>49</v>
      </c>
    </row>
    <row r="57" spans="2:9" ht="16.5" x14ac:dyDescent="0.2">
      <c r="B57" s="26">
        <v>12</v>
      </c>
      <c r="C57" s="16">
        <v>3.48</v>
      </c>
      <c r="D57" s="30" t="s">
        <v>8</v>
      </c>
      <c r="E57" s="30">
        <v>11</v>
      </c>
      <c r="F57" s="31">
        <v>39</v>
      </c>
      <c r="G57" s="31">
        <v>48</v>
      </c>
      <c r="H57" s="16">
        <v>43.4</v>
      </c>
      <c r="I57" s="23">
        <v>48</v>
      </c>
    </row>
    <row r="58" spans="2:9" ht="16.5" x14ac:dyDescent="0.2">
      <c r="B58" s="26" t="s">
        <v>8</v>
      </c>
      <c r="C58" s="16">
        <v>3.5</v>
      </c>
      <c r="D58" s="30" t="s">
        <v>8</v>
      </c>
      <c r="E58" s="30" t="s">
        <v>8</v>
      </c>
      <c r="F58" s="31" t="s">
        <v>8</v>
      </c>
      <c r="G58" s="31">
        <v>47</v>
      </c>
      <c r="H58" s="16">
        <v>43.5</v>
      </c>
      <c r="I58" s="23">
        <v>47</v>
      </c>
    </row>
    <row r="59" spans="2:9" ht="16.5" x14ac:dyDescent="0.2">
      <c r="B59" s="26" t="s">
        <v>8</v>
      </c>
      <c r="C59" s="16">
        <v>3.52</v>
      </c>
      <c r="D59" s="30">
        <v>22</v>
      </c>
      <c r="E59" s="30" t="s">
        <v>8</v>
      </c>
      <c r="F59" s="31">
        <v>38</v>
      </c>
      <c r="G59" s="31">
        <v>46</v>
      </c>
      <c r="H59" s="16">
        <v>44</v>
      </c>
      <c r="I59" s="23">
        <v>46</v>
      </c>
    </row>
    <row r="60" spans="2:9" ht="16.5" x14ac:dyDescent="0.2">
      <c r="B60" s="26" t="s">
        <v>8</v>
      </c>
      <c r="C60" s="16">
        <v>3.54</v>
      </c>
      <c r="D60" s="30" t="s">
        <v>8</v>
      </c>
      <c r="E60" s="30" t="s">
        <v>8</v>
      </c>
      <c r="F60" s="31" t="s">
        <v>8</v>
      </c>
      <c r="G60" s="31">
        <v>45</v>
      </c>
      <c r="H60" s="16">
        <v>44.1</v>
      </c>
      <c r="I60" s="23">
        <v>45</v>
      </c>
    </row>
    <row r="61" spans="2:9" ht="16.5" x14ac:dyDescent="0.2">
      <c r="B61" s="26">
        <v>11</v>
      </c>
      <c r="C61" s="16">
        <v>3.56</v>
      </c>
      <c r="D61" s="30" t="s">
        <v>8</v>
      </c>
      <c r="E61" s="30">
        <v>10</v>
      </c>
      <c r="F61" s="31">
        <v>37</v>
      </c>
      <c r="G61" s="31">
        <v>44</v>
      </c>
      <c r="H61" s="16">
        <v>44.2</v>
      </c>
      <c r="I61" s="23">
        <v>44</v>
      </c>
    </row>
    <row r="62" spans="2:9" ht="16.5" x14ac:dyDescent="0.2">
      <c r="B62" s="26" t="s">
        <v>8</v>
      </c>
      <c r="C62" s="16">
        <v>3.58</v>
      </c>
      <c r="D62" s="30">
        <v>21</v>
      </c>
      <c r="E62" s="30" t="s">
        <v>8</v>
      </c>
      <c r="F62" s="31" t="s">
        <v>8</v>
      </c>
      <c r="G62" s="31">
        <v>43</v>
      </c>
      <c r="H62" s="16">
        <v>44.3</v>
      </c>
      <c r="I62" s="23">
        <v>43</v>
      </c>
    </row>
    <row r="63" spans="2:9" ht="16.5" x14ac:dyDescent="0.2">
      <c r="B63" s="26" t="s">
        <v>8</v>
      </c>
      <c r="C63" s="16">
        <v>4</v>
      </c>
      <c r="D63" s="30" t="s">
        <v>8</v>
      </c>
      <c r="E63" s="30" t="s">
        <v>8</v>
      </c>
      <c r="F63" s="31">
        <v>36</v>
      </c>
      <c r="G63" s="31">
        <v>42</v>
      </c>
      <c r="H63" s="16">
        <v>44.4</v>
      </c>
      <c r="I63" s="23">
        <v>42</v>
      </c>
    </row>
    <row r="64" spans="2:9" ht="16.5" x14ac:dyDescent="0.2">
      <c r="B64" s="26" t="s">
        <v>8</v>
      </c>
      <c r="C64" s="16">
        <v>4.0599999999999996</v>
      </c>
      <c r="D64" s="30" t="s">
        <v>8</v>
      </c>
      <c r="E64" s="30" t="s">
        <v>8</v>
      </c>
      <c r="F64" s="31" t="s">
        <v>8</v>
      </c>
      <c r="G64" s="31">
        <v>41</v>
      </c>
      <c r="H64" s="16">
        <v>44.5</v>
      </c>
      <c r="I64" s="23">
        <v>41</v>
      </c>
    </row>
    <row r="65" spans="2:9" ht="16.5" x14ac:dyDescent="0.2">
      <c r="B65" s="26">
        <v>10</v>
      </c>
      <c r="C65" s="16">
        <v>4.08</v>
      </c>
      <c r="D65" s="30">
        <v>20</v>
      </c>
      <c r="E65" s="30">
        <v>9</v>
      </c>
      <c r="F65" s="31">
        <v>35</v>
      </c>
      <c r="G65" s="31">
        <v>40</v>
      </c>
      <c r="H65" s="16">
        <v>45</v>
      </c>
      <c r="I65" s="23">
        <v>40</v>
      </c>
    </row>
    <row r="66" spans="2:9" ht="16.5" x14ac:dyDescent="0.2">
      <c r="B66" s="26" t="s">
        <v>8</v>
      </c>
      <c r="C66" s="16">
        <v>4.0999999999999996</v>
      </c>
      <c r="D66" s="30" t="s">
        <v>8</v>
      </c>
      <c r="E66" s="30" t="s">
        <v>8</v>
      </c>
      <c r="F66" s="31" t="s">
        <v>8</v>
      </c>
      <c r="G66" s="31">
        <v>39</v>
      </c>
      <c r="H66" s="16">
        <v>45.1</v>
      </c>
      <c r="I66" s="23">
        <v>39</v>
      </c>
    </row>
    <row r="67" spans="2:9" ht="16.5" x14ac:dyDescent="0.2">
      <c r="B67" s="26" t="s">
        <v>8</v>
      </c>
      <c r="C67" s="16">
        <v>4.12</v>
      </c>
      <c r="D67" s="30">
        <v>19</v>
      </c>
      <c r="E67" s="30" t="s">
        <v>8</v>
      </c>
      <c r="F67" s="31">
        <v>34</v>
      </c>
      <c r="G67" s="31">
        <v>38</v>
      </c>
      <c r="H67" s="16">
        <v>45.2</v>
      </c>
      <c r="I67" s="23">
        <v>38</v>
      </c>
    </row>
    <row r="68" spans="2:9" ht="16.5" x14ac:dyDescent="0.2">
      <c r="B68" s="26" t="s">
        <v>8</v>
      </c>
      <c r="C68" s="16">
        <v>4.1399999999999997</v>
      </c>
      <c r="D68" s="30" t="s">
        <v>8</v>
      </c>
      <c r="E68" s="30" t="s">
        <v>8</v>
      </c>
      <c r="F68" s="31" t="s">
        <v>8</v>
      </c>
      <c r="G68" s="31">
        <v>37</v>
      </c>
      <c r="H68" s="16">
        <v>45.3</v>
      </c>
      <c r="I68" s="23">
        <v>37</v>
      </c>
    </row>
    <row r="69" spans="2:9" ht="16.5" x14ac:dyDescent="0.2">
      <c r="B69" s="26">
        <v>9</v>
      </c>
      <c r="C69" s="16">
        <v>4.16</v>
      </c>
      <c r="D69" s="30">
        <v>18</v>
      </c>
      <c r="E69" s="30">
        <v>8</v>
      </c>
      <c r="F69" s="31">
        <v>33</v>
      </c>
      <c r="G69" s="31">
        <v>36</v>
      </c>
      <c r="H69" s="16">
        <v>45.4</v>
      </c>
      <c r="I69" s="23">
        <v>36</v>
      </c>
    </row>
    <row r="70" spans="2:9" ht="16.5" x14ac:dyDescent="0.2">
      <c r="B70" s="26" t="s">
        <v>8</v>
      </c>
      <c r="C70" s="16">
        <v>4.18</v>
      </c>
      <c r="D70" s="30"/>
      <c r="E70" s="30" t="s">
        <v>8</v>
      </c>
      <c r="F70" s="31" t="s">
        <v>8</v>
      </c>
      <c r="G70" s="31">
        <v>35</v>
      </c>
      <c r="H70" s="16">
        <v>45.5</v>
      </c>
      <c r="I70" s="23">
        <v>35</v>
      </c>
    </row>
    <row r="71" spans="2:9" ht="16.5" x14ac:dyDescent="0.2">
      <c r="B71" s="26" t="s">
        <v>8</v>
      </c>
      <c r="C71" s="16">
        <v>4.2</v>
      </c>
      <c r="D71" s="30">
        <v>17</v>
      </c>
      <c r="E71" s="30" t="s">
        <v>8</v>
      </c>
      <c r="F71" s="31">
        <v>32</v>
      </c>
      <c r="G71" s="31">
        <v>34</v>
      </c>
      <c r="H71" s="16">
        <v>46</v>
      </c>
      <c r="I71" s="23">
        <v>34</v>
      </c>
    </row>
    <row r="72" spans="2:9" ht="16.5" x14ac:dyDescent="0.2">
      <c r="B72" s="26" t="s">
        <v>8</v>
      </c>
      <c r="C72" s="16">
        <v>4.22</v>
      </c>
      <c r="D72" s="30" t="s">
        <v>8</v>
      </c>
      <c r="E72" s="30" t="s">
        <v>8</v>
      </c>
      <c r="F72" s="31" t="s">
        <v>8</v>
      </c>
      <c r="G72" s="31">
        <v>33</v>
      </c>
      <c r="H72" s="16">
        <v>46.1</v>
      </c>
      <c r="I72" s="23">
        <v>33</v>
      </c>
    </row>
    <row r="73" spans="2:9" ht="16.5" x14ac:dyDescent="0.2">
      <c r="B73" s="26">
        <v>8</v>
      </c>
      <c r="C73" s="16">
        <v>4.24</v>
      </c>
      <c r="D73" s="30">
        <v>16</v>
      </c>
      <c r="E73" s="30">
        <v>7</v>
      </c>
      <c r="F73" s="31">
        <v>31</v>
      </c>
      <c r="G73" s="31">
        <v>32</v>
      </c>
      <c r="H73" s="16">
        <v>46.2</v>
      </c>
      <c r="I73" s="23">
        <v>32</v>
      </c>
    </row>
    <row r="74" spans="2:9" ht="16.5" x14ac:dyDescent="0.2">
      <c r="B74" s="26" t="s">
        <v>8</v>
      </c>
      <c r="C74" s="16">
        <v>4.26</v>
      </c>
      <c r="D74" s="30" t="s">
        <v>8</v>
      </c>
      <c r="E74" s="30" t="s">
        <v>8</v>
      </c>
      <c r="F74" s="31" t="s">
        <v>8</v>
      </c>
      <c r="G74" s="31">
        <v>31</v>
      </c>
      <c r="H74" s="16">
        <v>46.3</v>
      </c>
      <c r="I74" s="23">
        <v>31</v>
      </c>
    </row>
    <row r="75" spans="2:9" ht="16.5" x14ac:dyDescent="0.2">
      <c r="B75" s="26" t="s">
        <v>8</v>
      </c>
      <c r="C75" s="16">
        <v>4.3</v>
      </c>
      <c r="D75" s="30">
        <v>15</v>
      </c>
      <c r="E75" s="30" t="s">
        <v>8</v>
      </c>
      <c r="F75" s="31">
        <v>30</v>
      </c>
      <c r="G75" s="31">
        <v>30</v>
      </c>
      <c r="H75" s="16">
        <v>46.4</v>
      </c>
      <c r="I75" s="23">
        <v>30</v>
      </c>
    </row>
    <row r="76" spans="2:9" ht="16.5" x14ac:dyDescent="0.2">
      <c r="B76" s="26" t="s">
        <v>8</v>
      </c>
      <c r="C76" s="16">
        <v>4.32</v>
      </c>
      <c r="D76" s="30" t="s">
        <v>8</v>
      </c>
      <c r="E76" s="30" t="s">
        <v>8</v>
      </c>
      <c r="F76" s="31">
        <v>29</v>
      </c>
      <c r="G76" s="31">
        <v>29</v>
      </c>
      <c r="H76" s="16">
        <v>46.5</v>
      </c>
      <c r="I76" s="23">
        <v>29</v>
      </c>
    </row>
    <row r="77" spans="2:9" ht="16.5" x14ac:dyDescent="0.2">
      <c r="B77" s="26">
        <v>7</v>
      </c>
      <c r="C77" s="16">
        <v>4.34</v>
      </c>
      <c r="D77" s="30">
        <v>14</v>
      </c>
      <c r="E77" s="30">
        <v>6</v>
      </c>
      <c r="F77" s="31">
        <v>28</v>
      </c>
      <c r="G77" s="31">
        <v>28</v>
      </c>
      <c r="H77" s="16">
        <v>47</v>
      </c>
      <c r="I77" s="23">
        <v>28</v>
      </c>
    </row>
    <row r="78" spans="2:9" ht="16.5" x14ac:dyDescent="0.2">
      <c r="B78" s="26" t="s">
        <v>8</v>
      </c>
      <c r="C78" s="16">
        <v>4.3600000000000003</v>
      </c>
      <c r="D78" s="30" t="s">
        <v>8</v>
      </c>
      <c r="E78" s="30" t="s">
        <v>8</v>
      </c>
      <c r="F78" s="31">
        <v>27</v>
      </c>
      <c r="G78" s="31">
        <v>27</v>
      </c>
      <c r="H78" s="16">
        <v>47.1</v>
      </c>
      <c r="I78" s="23">
        <v>27</v>
      </c>
    </row>
    <row r="79" spans="2:9" ht="16.5" x14ac:dyDescent="0.2">
      <c r="B79" s="26" t="s">
        <v>8</v>
      </c>
      <c r="C79" s="16">
        <v>4.38</v>
      </c>
      <c r="D79" s="30">
        <v>13</v>
      </c>
      <c r="E79" s="30" t="s">
        <v>8</v>
      </c>
      <c r="F79" s="31">
        <v>26</v>
      </c>
      <c r="G79" s="31">
        <v>26</v>
      </c>
      <c r="H79" s="16">
        <v>47.2</v>
      </c>
      <c r="I79" s="23">
        <v>26</v>
      </c>
    </row>
    <row r="80" spans="2:9" ht="16.5" x14ac:dyDescent="0.2">
      <c r="B80" s="26" t="s">
        <v>8</v>
      </c>
      <c r="C80" s="16">
        <v>4.4000000000000004</v>
      </c>
      <c r="D80" s="30" t="s">
        <v>8</v>
      </c>
      <c r="E80" s="30" t="s">
        <v>8</v>
      </c>
      <c r="F80" s="31">
        <v>25</v>
      </c>
      <c r="G80" s="31">
        <v>25</v>
      </c>
      <c r="H80" s="16">
        <v>47.3</v>
      </c>
      <c r="I80" s="23">
        <v>25</v>
      </c>
    </row>
    <row r="81" spans="2:9" ht="16.5" x14ac:dyDescent="0.2">
      <c r="B81" s="26">
        <v>6</v>
      </c>
      <c r="C81" s="16">
        <v>4.42</v>
      </c>
      <c r="D81" s="30">
        <v>12</v>
      </c>
      <c r="E81" s="30">
        <v>5</v>
      </c>
      <c r="F81" s="31">
        <v>24</v>
      </c>
      <c r="G81" s="31">
        <v>24</v>
      </c>
      <c r="H81" s="16">
        <v>47.4</v>
      </c>
      <c r="I81" s="23">
        <v>24</v>
      </c>
    </row>
    <row r="82" spans="2:9" ht="16.5" x14ac:dyDescent="0.2">
      <c r="B82" s="26" t="s">
        <v>8</v>
      </c>
      <c r="C82" s="16">
        <v>4.4400000000000004</v>
      </c>
      <c r="D82" s="30" t="s">
        <v>8</v>
      </c>
      <c r="E82" s="30" t="s">
        <v>8</v>
      </c>
      <c r="F82" s="31">
        <v>23</v>
      </c>
      <c r="G82" s="31">
        <v>23</v>
      </c>
      <c r="H82" s="16">
        <v>47.5</v>
      </c>
      <c r="I82" s="23">
        <v>23</v>
      </c>
    </row>
    <row r="83" spans="2:9" ht="16.5" x14ac:dyDescent="0.2">
      <c r="B83" s="26" t="s">
        <v>8</v>
      </c>
      <c r="C83" s="16">
        <v>4.46</v>
      </c>
      <c r="D83" s="30">
        <v>11</v>
      </c>
      <c r="E83" s="30" t="s">
        <v>8</v>
      </c>
      <c r="F83" s="31">
        <v>22</v>
      </c>
      <c r="G83" s="31">
        <v>22</v>
      </c>
      <c r="H83" s="16">
        <v>48</v>
      </c>
      <c r="I83" s="23">
        <v>22</v>
      </c>
    </row>
    <row r="84" spans="2:9" ht="16.5" x14ac:dyDescent="0.2">
      <c r="B84" s="26" t="s">
        <v>8</v>
      </c>
      <c r="C84" s="16">
        <v>4.4800000000000004</v>
      </c>
      <c r="D84" s="30" t="s">
        <v>8</v>
      </c>
      <c r="E84" s="30" t="s">
        <v>8</v>
      </c>
      <c r="F84" s="31">
        <v>21</v>
      </c>
      <c r="G84" s="31">
        <v>21</v>
      </c>
      <c r="H84" s="16">
        <v>48.1</v>
      </c>
      <c r="I84" s="23">
        <v>21</v>
      </c>
    </row>
    <row r="85" spans="2:9" ht="16.5" x14ac:dyDescent="0.2">
      <c r="B85" s="26">
        <v>5</v>
      </c>
      <c r="C85" s="16">
        <v>4.5</v>
      </c>
      <c r="D85" s="30">
        <v>10</v>
      </c>
      <c r="E85" s="30">
        <v>4</v>
      </c>
      <c r="F85" s="31">
        <v>20</v>
      </c>
      <c r="G85" s="31">
        <v>20</v>
      </c>
      <c r="H85" s="16">
        <v>48.2</v>
      </c>
      <c r="I85" s="23">
        <v>20</v>
      </c>
    </row>
    <row r="86" spans="2:9" ht="16.5" x14ac:dyDescent="0.2">
      <c r="B86" s="26" t="s">
        <v>8</v>
      </c>
      <c r="C86" s="16">
        <v>4.5199999999999996</v>
      </c>
      <c r="D86" s="30" t="s">
        <v>8</v>
      </c>
      <c r="E86" s="30" t="s">
        <v>8</v>
      </c>
      <c r="F86" s="31">
        <v>19</v>
      </c>
      <c r="G86" s="31">
        <v>19</v>
      </c>
      <c r="H86" s="16">
        <v>48.3</v>
      </c>
      <c r="I86" s="23">
        <v>19</v>
      </c>
    </row>
    <row r="87" spans="2:9" ht="16.5" x14ac:dyDescent="0.2">
      <c r="B87" s="26" t="s">
        <v>8</v>
      </c>
      <c r="C87" s="16">
        <v>4.54</v>
      </c>
      <c r="D87" s="30">
        <v>9</v>
      </c>
      <c r="E87" s="30" t="s">
        <v>8</v>
      </c>
      <c r="F87" s="31">
        <v>18</v>
      </c>
      <c r="G87" s="31">
        <v>18</v>
      </c>
      <c r="H87" s="16">
        <v>48.4</v>
      </c>
      <c r="I87" s="23">
        <v>18</v>
      </c>
    </row>
    <row r="88" spans="2:9" ht="16.5" x14ac:dyDescent="0.2">
      <c r="B88" s="26" t="s">
        <v>8</v>
      </c>
      <c r="C88" s="16">
        <v>4.5599999999999996</v>
      </c>
      <c r="D88" s="30" t="s">
        <v>8</v>
      </c>
      <c r="E88" s="30" t="s">
        <v>8</v>
      </c>
      <c r="F88" s="31">
        <v>17</v>
      </c>
      <c r="G88" s="31">
        <v>17</v>
      </c>
      <c r="H88" s="16">
        <v>48.5</v>
      </c>
      <c r="I88" s="23">
        <v>17</v>
      </c>
    </row>
    <row r="89" spans="2:9" ht="16.5" x14ac:dyDescent="0.2">
      <c r="B89" s="26">
        <v>4</v>
      </c>
      <c r="C89" s="16">
        <v>4.58</v>
      </c>
      <c r="D89" s="30">
        <v>8</v>
      </c>
      <c r="E89" s="30" t="s">
        <v>8</v>
      </c>
      <c r="F89" s="31">
        <v>16</v>
      </c>
      <c r="G89" s="31">
        <v>16</v>
      </c>
      <c r="H89" s="16">
        <v>49</v>
      </c>
      <c r="I89" s="23">
        <v>16</v>
      </c>
    </row>
    <row r="90" spans="2:9" ht="16.5" x14ac:dyDescent="0.2">
      <c r="B90" s="26" t="s">
        <v>8</v>
      </c>
      <c r="C90" s="16">
        <v>5</v>
      </c>
      <c r="D90" s="30" t="s">
        <v>8</v>
      </c>
      <c r="E90" s="30">
        <v>3</v>
      </c>
      <c r="F90" s="31">
        <v>15</v>
      </c>
      <c r="G90" s="31">
        <v>15</v>
      </c>
      <c r="H90" s="16">
        <v>49.1</v>
      </c>
      <c r="I90" s="23">
        <v>15</v>
      </c>
    </row>
    <row r="91" spans="2:9" ht="16.5" x14ac:dyDescent="0.2">
      <c r="B91" s="26" t="s">
        <v>8</v>
      </c>
      <c r="C91" s="16">
        <v>5.04</v>
      </c>
      <c r="D91" s="30">
        <v>7</v>
      </c>
      <c r="E91" s="30" t="s">
        <v>8</v>
      </c>
      <c r="F91" s="31">
        <v>14</v>
      </c>
      <c r="G91" s="31">
        <v>14</v>
      </c>
      <c r="H91" s="16">
        <v>49.2</v>
      </c>
      <c r="I91" s="23">
        <v>14</v>
      </c>
    </row>
    <row r="92" spans="2:9" ht="16.5" x14ac:dyDescent="0.2">
      <c r="B92" s="26" t="s">
        <v>8</v>
      </c>
      <c r="C92" s="16">
        <v>5.08</v>
      </c>
      <c r="D92" s="30" t="s">
        <v>8</v>
      </c>
      <c r="E92" s="30" t="s">
        <v>8</v>
      </c>
      <c r="F92" s="31">
        <v>13</v>
      </c>
      <c r="G92" s="31">
        <v>13</v>
      </c>
      <c r="H92" s="16">
        <v>49.3</v>
      </c>
      <c r="I92" s="23">
        <v>13</v>
      </c>
    </row>
    <row r="93" spans="2:9" ht="16.5" x14ac:dyDescent="0.2">
      <c r="B93" s="26">
        <v>3</v>
      </c>
      <c r="C93" s="16">
        <v>5.12</v>
      </c>
      <c r="D93" s="30">
        <v>6</v>
      </c>
      <c r="E93" s="30" t="s">
        <v>8</v>
      </c>
      <c r="F93" s="31">
        <v>12</v>
      </c>
      <c r="G93" s="31">
        <v>12</v>
      </c>
      <c r="H93" s="16">
        <v>49.4</v>
      </c>
      <c r="I93" s="23">
        <v>12</v>
      </c>
    </row>
    <row r="94" spans="2:9" ht="16.5" x14ac:dyDescent="0.2">
      <c r="B94" s="26" t="s">
        <v>8</v>
      </c>
      <c r="C94" s="16">
        <v>5.14</v>
      </c>
      <c r="D94" s="30" t="s">
        <v>8</v>
      </c>
      <c r="E94" s="30" t="s">
        <v>8</v>
      </c>
      <c r="F94" s="31">
        <v>11</v>
      </c>
      <c r="G94" s="31">
        <v>11</v>
      </c>
      <c r="H94" s="16">
        <v>49.5</v>
      </c>
      <c r="I94" s="23">
        <v>11</v>
      </c>
    </row>
    <row r="95" spans="2:9" ht="16.5" x14ac:dyDescent="0.2">
      <c r="B95" s="26" t="s">
        <v>8</v>
      </c>
      <c r="C95" s="16">
        <v>5.18</v>
      </c>
      <c r="D95" s="30">
        <v>5</v>
      </c>
      <c r="E95" s="30">
        <v>2</v>
      </c>
      <c r="F95" s="31">
        <v>10</v>
      </c>
      <c r="G95" s="31">
        <v>10</v>
      </c>
      <c r="H95" s="16">
        <v>50</v>
      </c>
      <c r="I95" s="23">
        <v>10</v>
      </c>
    </row>
    <row r="96" spans="2:9" ht="16.5" x14ac:dyDescent="0.2">
      <c r="B96" s="26" t="s">
        <v>8</v>
      </c>
      <c r="C96" s="16">
        <v>5.22</v>
      </c>
      <c r="D96" s="30" t="s">
        <v>8</v>
      </c>
      <c r="E96" s="30" t="s">
        <v>8</v>
      </c>
      <c r="F96" s="31">
        <v>9</v>
      </c>
      <c r="G96" s="31">
        <v>9</v>
      </c>
      <c r="H96" s="16">
        <v>50.1</v>
      </c>
      <c r="I96" s="23">
        <v>9</v>
      </c>
    </row>
    <row r="97" spans="2:9" ht="16.5" x14ac:dyDescent="0.2">
      <c r="B97" s="26">
        <v>2</v>
      </c>
      <c r="C97" s="16">
        <v>5.26</v>
      </c>
      <c r="D97" s="30">
        <v>4</v>
      </c>
      <c r="E97" s="30" t="s">
        <v>8</v>
      </c>
      <c r="F97" s="31">
        <v>8</v>
      </c>
      <c r="G97" s="31">
        <v>8</v>
      </c>
      <c r="H97" s="16">
        <v>50.2</v>
      </c>
      <c r="I97" s="23">
        <v>8</v>
      </c>
    </row>
    <row r="98" spans="2:9" ht="16.5" x14ac:dyDescent="0.2">
      <c r="B98" s="26" t="s">
        <v>8</v>
      </c>
      <c r="C98" s="16">
        <v>5.3</v>
      </c>
      <c r="D98" s="30" t="s">
        <v>8</v>
      </c>
      <c r="E98" s="30" t="s">
        <v>8</v>
      </c>
      <c r="F98" s="31">
        <v>7</v>
      </c>
      <c r="G98" s="31">
        <v>7</v>
      </c>
      <c r="H98" s="16">
        <v>50.3</v>
      </c>
      <c r="I98" s="23">
        <v>7</v>
      </c>
    </row>
    <row r="99" spans="2:9" ht="16.5" x14ac:dyDescent="0.2">
      <c r="B99" s="26" t="s">
        <v>8</v>
      </c>
      <c r="C99" s="16">
        <v>5.34</v>
      </c>
      <c r="D99" s="30">
        <v>3</v>
      </c>
      <c r="E99" s="30" t="s">
        <v>8</v>
      </c>
      <c r="F99" s="31">
        <v>6</v>
      </c>
      <c r="G99" s="31">
        <v>6</v>
      </c>
      <c r="H99" s="16">
        <v>50.4</v>
      </c>
      <c r="I99" s="23">
        <v>6</v>
      </c>
    </row>
    <row r="100" spans="2:9" ht="16.5" x14ac:dyDescent="0.2">
      <c r="B100" s="26" t="s">
        <v>8</v>
      </c>
      <c r="C100" s="16">
        <v>5.38</v>
      </c>
      <c r="D100" s="30" t="s">
        <v>8</v>
      </c>
      <c r="E100" s="30">
        <v>1</v>
      </c>
      <c r="F100" s="31">
        <v>5</v>
      </c>
      <c r="G100" s="31">
        <v>5</v>
      </c>
      <c r="H100" s="16">
        <v>50.5</v>
      </c>
      <c r="I100" s="23">
        <v>5</v>
      </c>
    </row>
    <row r="101" spans="2:9" ht="16.5" x14ac:dyDescent="0.2">
      <c r="B101" s="26">
        <v>1</v>
      </c>
      <c r="C101" s="16">
        <v>5.42</v>
      </c>
      <c r="D101" s="30">
        <v>2</v>
      </c>
      <c r="E101" s="30" t="s">
        <v>8</v>
      </c>
      <c r="F101" s="31">
        <v>4</v>
      </c>
      <c r="G101" s="31">
        <v>4</v>
      </c>
      <c r="H101" s="16">
        <v>51</v>
      </c>
      <c r="I101" s="23">
        <v>4</v>
      </c>
    </row>
    <row r="102" spans="2:9" ht="16.5" x14ac:dyDescent="0.2">
      <c r="B102" s="26" t="s">
        <v>8</v>
      </c>
      <c r="C102" s="16">
        <v>5.46</v>
      </c>
      <c r="D102" s="30" t="s">
        <v>8</v>
      </c>
      <c r="E102" s="30" t="s">
        <v>8</v>
      </c>
      <c r="F102" s="31">
        <v>3</v>
      </c>
      <c r="G102" s="31">
        <v>3</v>
      </c>
      <c r="H102" s="16">
        <v>51.1</v>
      </c>
      <c r="I102" s="23">
        <v>3</v>
      </c>
    </row>
    <row r="103" spans="2:9" ht="16.5" x14ac:dyDescent="0.2">
      <c r="B103" s="26" t="s">
        <v>8</v>
      </c>
      <c r="C103" s="16">
        <v>5.5</v>
      </c>
      <c r="D103" s="30">
        <v>1</v>
      </c>
      <c r="E103" s="30" t="s">
        <v>8</v>
      </c>
      <c r="F103" s="31">
        <v>2</v>
      </c>
      <c r="G103" s="31">
        <v>2</v>
      </c>
      <c r="H103" s="16">
        <v>51.2</v>
      </c>
      <c r="I103" s="23">
        <v>2</v>
      </c>
    </row>
    <row r="104" spans="2:9" ht="17.25" thickBot="1" x14ac:dyDescent="0.25">
      <c r="B104" s="27" t="s">
        <v>8</v>
      </c>
      <c r="C104" s="17">
        <v>5.54</v>
      </c>
      <c r="D104" s="32" t="s">
        <v>8</v>
      </c>
      <c r="E104" s="32" t="s">
        <v>8</v>
      </c>
      <c r="F104" s="33">
        <v>1</v>
      </c>
      <c r="G104" s="33">
        <v>1</v>
      </c>
      <c r="H104" s="17">
        <v>51.3</v>
      </c>
      <c r="I104" s="24">
        <v>1</v>
      </c>
    </row>
  </sheetData>
  <mergeCells count="1">
    <mergeCell ref="I3:I4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1BC75B3-FD2B-406E-B80B-60276895710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4</vt:i4>
      </vt:variant>
    </vt:vector>
  </HeadingPairs>
  <TitlesOfParts>
    <vt:vector size="10" baseType="lpstr">
      <vt:lpstr>Команды участники</vt:lpstr>
      <vt:lpstr>Испытания Атлет</vt:lpstr>
      <vt:lpstr>Испытания Атлет (2)</vt:lpstr>
      <vt:lpstr>Командные результаты</vt:lpstr>
      <vt:lpstr>Командные результаты (2)</vt:lpstr>
      <vt:lpstr>Атлет</vt:lpstr>
      <vt:lpstr>'Испытания Атлет'!Заголовки_для_печати</vt:lpstr>
      <vt:lpstr>'Испытания Атлет (2)'!Заголовки_для_печати</vt:lpstr>
      <vt:lpstr>'Испытания Атлет'!Область_печати</vt:lpstr>
      <vt:lpstr>'Испытания Атлет (2)'!Область_печати</vt:lpstr>
    </vt:vector>
  </TitlesOfParts>
  <Company>МЧС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Борисенко</dc:creator>
  <cp:lastModifiedBy>KT</cp:lastModifiedBy>
  <cp:lastPrinted>2026-05-18T08:25:02Z</cp:lastPrinted>
  <dcterms:created xsi:type="dcterms:W3CDTF">2003-04-26T10:16:25Z</dcterms:created>
  <dcterms:modified xsi:type="dcterms:W3CDTF">2026-06-03T14:17:23Z</dcterms:modified>
</cp:coreProperties>
</file>